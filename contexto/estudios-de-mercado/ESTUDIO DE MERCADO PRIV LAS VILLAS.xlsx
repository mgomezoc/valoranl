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PTURA INMUEBLE" sheetId="1" state="visible" r:id="rId3"/>
    <sheet name="C. REFERENCIAS" sheetId="2" state="visible" r:id="rId4"/>
    <sheet name="ANALISIS CON CONSTRUCCIÓN" sheetId="3" state="visible" r:id="rId5"/>
  </sheets>
  <definedNames>
    <definedName function="false" hidden="false" localSheetId="2" name="_xlnm.Print_Area" vbProcedure="false">'ANALISIS CON CONSTRUCCIÓN'!$A$1:$AA$61</definedName>
    <definedName function="false" hidden="false" localSheetId="1" name="_xlnm.Print_Area" vbProcedure="false">'C. REFERENCIAS'!$A$1:$I$68</definedName>
    <definedName function="false" hidden="false" localSheetId="0" name="_xlnm.Print_Area" vbProcedure="false">'CAPTURA INMUEBLE'!$A$1:$I$37</definedName>
    <definedName function="false" hidden="false" name="_xlnm.Recorde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HP</author>
  </authors>
  <commentList>
    <comment ref="B5" authorId="0">
      <text>
        <r>
          <rPr>
            <sz val="10"/>
            <rFont val="Arial"/>
            <family val="2"/>
          </rPr>
          <t xml:space="preserve">https://propiedades.com/inmuebles/casa-en-venta-cumbres-san-agustin-2-sector-nuevo_leon-11876958#area=cumbres-san-agustin-2-sector-monterrey&amp;tipos=casas-venta&amp;orden=&amp;pagina=1&amp;paginas=1&amp;pos=1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PARCE</author>
    <author>PAULO ARCE</author>
  </authors>
  <commentList>
    <comment ref="E22" authorId="0">
      <text>
        <r>
          <rPr>
            <sz val="10"/>
            <rFont val="Arial"/>
            <family val="2"/>
          </rPr>
          <t xml:space="preserve">El premio no debe ser mayor a 1.20 y el castigo menor de .80</t>
        </r>
      </text>
    </comment>
    <comment ref="F22" authorId="1">
      <text>
        <r>
          <rPr>
            <sz val="10"/>
            <rFont val="Arial"/>
            <family val="2"/>
          </rPr>
          <t xml:space="preserve">Poner premio que corresponda:
Si el inmueble esta:
</t>
        </r>
        <r>
          <rPr>
            <sz val="9"/>
            <color rgb="FF000000"/>
            <rFont val="Tahoma"/>
            <family val="2"/>
            <charset val="1"/>
          </rPr>
          <t xml:space="preserve">Frente a parque:  1.05
Esquina:   1.05
Tres frentes: 1.10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Poner castigo que corresponda:
Si el Comparable esta:
</t>
        </r>
        <r>
          <rPr>
            <sz val="9"/>
            <color rgb="FF000000"/>
            <rFont val="Tahoma"/>
            <family val="2"/>
            <charset val="1"/>
          </rPr>
          <t xml:space="preserve">Frente a parque:  0.95
Esquina:   0.95
Tres frentes: 0.90
</t>
        </r>
      </text>
    </comment>
    <comment ref="I22" authorId="1">
      <text>
        <r>
          <rPr>
            <sz val="10"/>
            <rFont val="Arial"/>
            <family val="2"/>
          </rPr>
          <t xml:space="preserve">El premio no debe ser mayor a 1.20 y el castigo menor de .80
</t>
        </r>
      </text>
    </comment>
  </commentList>
</comments>
</file>

<file path=xl/sharedStrings.xml><?xml version="1.0" encoding="utf-8"?>
<sst xmlns="http://schemas.openxmlformats.org/spreadsheetml/2006/main" count="180" uniqueCount="133">
  <si>
    <t xml:space="preserve">DATOS DE LA VIVIENDA A ANALIZAR</t>
  </si>
  <si>
    <t xml:space="preserve">DOMICILIO DEL INMUEBLE:</t>
  </si>
  <si>
    <t xml:space="preserve">Calle:</t>
  </si>
  <si>
    <t xml:space="preserve">VILLA NAPOLES</t>
  </si>
  <si>
    <t xml:space="preserve">No. Oficial:</t>
  </si>
  <si>
    <t xml:space="preserve">Colonia o Fraccionamiento:</t>
  </si>
  <si>
    <t xml:space="preserve">PRIVADA DE LAS VILLAS</t>
  </si>
  <si>
    <t xml:space="preserve">Municipio:</t>
  </si>
  <si>
    <t xml:space="preserve">GARCIA</t>
  </si>
  <si>
    <t xml:space="preserve">Estado:</t>
  </si>
  <si>
    <t xml:space="preserve">Nuevo Léon.</t>
  </si>
  <si>
    <t xml:space="preserve">Descripción del inmueble:</t>
  </si>
  <si>
    <t xml:space="preserve">Casa de dos plantas, área social amplia, patio con pequeña alberca. 1 recamara, 2 baños completos, cocina integral, lavandería, minisplits, aires lavados, abanicos de techo, acabados en piedra y madera. </t>
  </si>
  <si>
    <t xml:space="preserve">Superficie de Construcción:</t>
  </si>
  <si>
    <t xml:space="preserve">m².</t>
  </si>
  <si>
    <t xml:space="preserve">Superficie de Terreno:</t>
  </si>
  <si>
    <t xml:space="preserve">Edad:</t>
  </si>
  <si>
    <t xml:space="preserve">Años.</t>
  </si>
  <si>
    <t xml:space="preserve">Ross</t>
  </si>
  <si>
    <t xml:space="preserve">Factor</t>
  </si>
  <si>
    <t xml:space="preserve">Estado de Conservación:</t>
  </si>
  <si>
    <t xml:space="preserve">Equipamiento:</t>
  </si>
  <si>
    <t xml:space="preserve">Valor unitario de construcción:</t>
  </si>
  <si>
    <t xml:space="preserve">Asesor:</t>
  </si>
  <si>
    <t xml:space="preserve">ANGELA GALARZA</t>
  </si>
  <si>
    <t xml:space="preserve">Contacto:</t>
  </si>
  <si>
    <t xml:space="preserve">8131259988</t>
  </si>
  <si>
    <t xml:space="preserve">Email::</t>
  </si>
  <si>
    <t xml:space="preserve">angie.galarzah@gmail.com</t>
  </si>
  <si>
    <t xml:space="preserve">REFERENCIA No. 1</t>
  </si>
  <si>
    <t xml:space="preserve">REFERENCIA No. 2</t>
  </si>
  <si>
    <t xml:space="preserve">REFERENCIA No. 3</t>
  </si>
  <si>
    <t xml:space="preserve">PRECIO DE VENTA o RENTA:</t>
  </si>
  <si>
    <t xml:space="preserve">CALLE:</t>
  </si>
  <si>
    <t xml:space="preserve">VILLA VALENCIA</t>
  </si>
  <si>
    <t xml:space="preserve">NA</t>
  </si>
  <si>
    <t xml:space="preserve">COLONIA O FRACCIONAMIENTO:</t>
  </si>
  <si>
    <t xml:space="preserve">PRIV DE LAS VILLAS </t>
  </si>
  <si>
    <t xml:space="preserve">LAS VILLAS</t>
  </si>
  <si>
    <t xml:space="preserve">MITRAS PONIENTE</t>
  </si>
  <si>
    <t xml:space="preserve">MUNICIPIO:</t>
  </si>
  <si>
    <t xml:space="preserve">ESTADO:</t>
  </si>
  <si>
    <t xml:space="preserve">NUEVO LEÓN</t>
  </si>
  <si>
    <t xml:space="preserve">SUPERFICE DE TERRENO:</t>
  </si>
  <si>
    <t xml:space="preserve">SUPERFICE DE CONSTRUCIÓN:</t>
  </si>
  <si>
    <t xml:space="preserve">EDAD DEL INMUEBLE:</t>
  </si>
  <si>
    <t xml:space="preserve">Nota: Si no se sabe la edad poner la misma que la del inmueble a analizar</t>
  </si>
  <si>
    <t xml:space="preserve">CONSERVACIÓN:</t>
  </si>
  <si>
    <t xml:space="preserve">Calif.</t>
  </si>
  <si>
    <t xml:space="preserve">Estado</t>
  </si>
  <si>
    <t xml:space="preserve">SUGERENCIAS PARA LA SELECCIÓN DEL ESTADO DE CONSERVACIÓN:</t>
  </si>
  <si>
    <t xml:space="preserve">Inservible</t>
  </si>
  <si>
    <t xml:space="preserve">Vivienda inservible, que debería ser demolida para aprovechar el terreno en el que se ubica.</t>
  </si>
  <si>
    <t xml:space="preserve">Desecho</t>
  </si>
  <si>
    <t xml:space="preserve">Vivienda con condiciones inapropiadas que debería ser remodelada o demolida.</t>
  </si>
  <si>
    <t xml:space="preserve">Malo</t>
  </si>
  <si>
    <t xml:space="preserve">Vivienda con problemas evidentes, que requiere de reparaciones mayores.</t>
  </si>
  <si>
    <t xml:space="preserve">Regular</t>
  </si>
  <si>
    <r>
      <rPr>
        <sz val="9"/>
        <rFont val="Century Gothic"/>
        <family val="2"/>
        <charset val="1"/>
      </rPr>
      <t xml:space="preserve">Vivienda sin mantenimiento con necesidad de reparaciones importantes.</t>
    </r>
    <r>
      <rPr>
        <b val="true"/>
        <sz val="9"/>
        <color rgb="FFFF0000"/>
        <rFont val="Century Gothic"/>
        <family val="2"/>
        <charset val="1"/>
      </rPr>
      <t xml:space="preserve"> (NO ES SUJETA DE CRÉDITO EN ALGUNAS ONAVI's)</t>
    </r>
  </si>
  <si>
    <t xml:space="preserve">Normal bajo</t>
  </si>
  <si>
    <t xml:space="preserve">Vivienda usada sin mantenimiento, que requiere algunas reparaciones sencillas, pero se encuentra en condiciones habitables.</t>
  </si>
  <si>
    <t xml:space="preserve">Normal</t>
  </si>
  <si>
    <t xml:space="preserve">Vivienda usada con mantenimiento escaso o mínimo evidente, que requiere ligeras reparaciones.</t>
  </si>
  <si>
    <t xml:space="preserve">Bueno</t>
  </si>
  <si>
    <t xml:space="preserve">La mayoría de viviendas con uso promedio que requieren mantenimiento menor.</t>
  </si>
  <si>
    <t xml:space="preserve">Muy Bueno</t>
  </si>
  <si>
    <t xml:space="preserve">Vivienda seminueva con detalles de mantenimiento menor (pintura básicamente).</t>
  </si>
  <si>
    <t xml:space="preserve">Excelente</t>
  </si>
  <si>
    <t xml:space="preserve">Vivienda sin usar generalmente, con algunos detalles de Mantenimiento mínimos (concluida hace 6 a 12 meses).</t>
  </si>
  <si>
    <t xml:space="preserve">Nuevo</t>
  </si>
  <si>
    <t xml:space="preserve">Vivienda sin usar, concluida en los últimos 6 meses.</t>
  </si>
  <si>
    <t xml:space="preserve">ESTIMADO DE VALOR</t>
  </si>
  <si>
    <t xml:space="preserve">1. ANALISIS  DE MERCADO</t>
  </si>
  <si>
    <t xml:space="preserve">No.</t>
  </si>
  <si>
    <t xml:space="preserve">UBICACIÓN DE LA OFERTA:</t>
  </si>
  <si>
    <t xml:space="preserve">SUP. DE TERRENO.</t>
  </si>
  <si>
    <t xml:space="preserve">SUP. DE CONST.</t>
  </si>
  <si>
    <t xml:space="preserve">EDAD EN AÑOS</t>
  </si>
  <si>
    <t xml:space="preserve">PRECIO DE VENTA</t>
  </si>
  <si>
    <t xml:space="preserve">Edad años</t>
  </si>
  <si>
    <t xml:space="preserve">ROSS-HEIDECKE</t>
  </si>
  <si>
    <t xml:space="preserve">Estado de conservación:</t>
  </si>
  <si>
    <t xml:space="preserve">OFERTA</t>
  </si>
  <si>
    <t xml:space="preserve">PRECIO OFERTADO</t>
  </si>
  <si>
    <t xml:space="preserve">SUP.</t>
  </si>
  <si>
    <t xml:space="preserve">PRECIO/m².</t>
  </si>
  <si>
    <t xml:space="preserve">FACTORES DE HOMOLOGACIÓN</t>
  </si>
  <si>
    <t xml:space="preserve">FRe</t>
  </si>
  <si>
    <t xml:space="preserve">VALOR </t>
  </si>
  <si>
    <t xml:space="preserve">Zona</t>
  </si>
  <si>
    <t xml:space="preserve">Ubicac.</t>
  </si>
  <si>
    <t xml:space="preserve">Sup.</t>
  </si>
  <si>
    <t xml:space="preserve">Edad</t>
  </si>
  <si>
    <t xml:space="preserve">Equipamiento</t>
  </si>
  <si>
    <t xml:space="preserve">Negoc.</t>
  </si>
  <si>
    <t xml:space="preserve">RESULT.$/M2</t>
  </si>
  <si>
    <t xml:space="preserve">Normal Bajo</t>
  </si>
  <si>
    <t xml:space="preserve">PROMEDIO:</t>
  </si>
  <si>
    <t xml:space="preserve">$/m².</t>
  </si>
  <si>
    <t xml:space="preserve">VALOR UNITARIO APLICADO:</t>
  </si>
  <si>
    <t xml:space="preserve">SUPERFICIE DE</t>
  </si>
  <si>
    <t xml:space="preserve">SUPERFICIE DE ÁREA</t>
  </si>
  <si>
    <t xml:space="preserve">EDAD EN</t>
  </si>
  <si>
    <t xml:space="preserve">VALOR POR </t>
  </si>
  <si>
    <t xml:space="preserve">VALOR DE </t>
  </si>
  <si>
    <t xml:space="preserve">FRACCIÓN</t>
  </si>
  <si>
    <t xml:space="preserve">TERRENO</t>
  </si>
  <si>
    <t xml:space="preserve">VENDIBLE CONSTRUCCIÓN</t>
  </si>
  <si>
    <t xml:space="preserve">AÑOS **</t>
  </si>
  <si>
    <t xml:space="preserve">m². DE ÁREA VENDIBLE</t>
  </si>
  <si>
    <t xml:space="preserve">MERCADO</t>
  </si>
  <si>
    <t xml:space="preserve">I</t>
  </si>
  <si>
    <t xml:space="preserve">PORCENTAJE/FISICO</t>
  </si>
  <si>
    <t xml:space="preserve">** La edad es supuesta según lo mencionado en documentación proporcionada.</t>
  </si>
  <si>
    <t xml:space="preserve">VALOR DE MERCADO:</t>
  </si>
  <si>
    <t xml:space="preserve">V. Construcciones</t>
  </si>
  <si>
    <t xml:space="preserve">V. Equipamiento</t>
  </si>
  <si>
    <t xml:space="preserve">V. Terreno</t>
  </si>
  <si>
    <t xml:space="preserve">V.U. Terreno</t>
  </si>
  <si>
    <t xml:space="preserve">2. CONCLUSIONES DEL ANALISIS</t>
  </si>
  <si>
    <t xml:space="preserve">VALOR PARAMETRICO PROMEDIO:</t>
  </si>
  <si>
    <t xml:space="preserve">Valor maximo:</t>
  </si>
  <si>
    <t xml:space="preserve">*</t>
  </si>
  <si>
    <t xml:space="preserve">Valor medio:</t>
  </si>
  <si>
    <t xml:space="preserve">**</t>
  </si>
  <si>
    <t xml:space="preserve">Valor minimo:</t>
  </si>
  <si>
    <t xml:space="preserve">***</t>
  </si>
  <si>
    <t xml:space="preserve">*    Valor maximo de la vivienda para poder estar dentro del mercado activo.</t>
  </si>
  <si>
    <t xml:space="preserve">**   Valor real de la vivienda según mercado activo en la zona.</t>
  </si>
  <si>
    <t xml:space="preserve">***  Valor que se puede considerar como valor piso de la vivienda, es decir el valor minimo de venta o renta en condiciones normales.</t>
  </si>
  <si>
    <t xml:space="preserve">Asesor: </t>
  </si>
  <si>
    <t xml:space="preserve">Contacto: </t>
  </si>
  <si>
    <t xml:space="preserve">Email :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</si>
</sst>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@"/>
    <numFmt numFmtId="167" formatCode="0.00"/>
    <numFmt numFmtId="168" formatCode="#,##0"/>
    <numFmt numFmtId="169" formatCode="_-* #,##0\ _$_-;\-* #,##0\ _$_-;_-* &quot;- &quot;_$_-;_-@_-"/>
    <numFmt numFmtId="170" formatCode="_(* #,##0.00_);_(* \(#,##0.00\);_(* \-??_);_(@_)"/>
    <numFmt numFmtId="171" formatCode="#,##0.00"/>
    <numFmt numFmtId="172" formatCode="0.00%"/>
    <numFmt numFmtId="173" formatCode="\$#,##0.00;&quot;-$&quot;#,##0.00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entury Gothic"/>
      <family val="2"/>
      <charset val="1"/>
    </font>
    <font>
      <sz val="10"/>
      <name val="Century Gothic"/>
      <family val="2"/>
      <charset val="1"/>
    </font>
    <font>
      <b val="true"/>
      <sz val="11"/>
      <name val="Century Gothic"/>
      <family val="2"/>
      <charset val="1"/>
    </font>
    <font>
      <sz val="8"/>
      <name val="Century Gothic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 val="true"/>
      <sz val="7"/>
      <color theme="1"/>
      <name val="Calibri"/>
      <family val="0"/>
    </font>
    <font>
      <b val="true"/>
      <sz val="7"/>
      <color rgb="FFFF0000"/>
      <name val="Calibri"/>
      <family val="0"/>
    </font>
    <font>
      <sz val="7"/>
      <color rgb="FF000000"/>
      <name val="Times New Roman"/>
      <family val="0"/>
    </font>
    <font>
      <b val="true"/>
      <sz val="8"/>
      <color theme="1"/>
      <name val="Calibri"/>
      <family val="0"/>
    </font>
    <font>
      <sz val="8"/>
      <color theme="1"/>
      <name val="Calibri"/>
      <family val="0"/>
    </font>
    <font>
      <sz val="8"/>
      <color rgb="FF000000"/>
      <name val="Times New Roman"/>
      <family val="0"/>
    </font>
    <font>
      <sz val="11"/>
      <color rgb="FF000000"/>
      <name val="Times New Roman"/>
      <family val="0"/>
    </font>
    <font>
      <b val="true"/>
      <sz val="14"/>
      <color theme="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sz val="8"/>
      <color theme="0"/>
      <name val="Arial"/>
      <family val="2"/>
      <charset val="1"/>
    </font>
    <font>
      <sz val="10"/>
      <color theme="0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8"/>
      <color theme="0"/>
      <name val="Century Gothic"/>
      <family val="2"/>
      <charset val="1"/>
    </font>
    <font>
      <b val="true"/>
      <sz val="9"/>
      <color rgb="FFFF0000"/>
      <name val="Century Gothic"/>
      <family val="2"/>
      <charset val="1"/>
    </font>
    <font>
      <b val="true"/>
      <sz val="8"/>
      <name val="Century Gothic"/>
      <family val="2"/>
      <charset val="1"/>
    </font>
    <font>
      <sz val="9"/>
      <name val="Century Gothic"/>
      <family val="2"/>
      <charset val="1"/>
    </font>
    <font>
      <sz val="10"/>
      <name val="Arial"/>
      <family val="2"/>
    </font>
    <font>
      <b val="true"/>
      <sz val="12"/>
      <name val="Arial Black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theme="0"/>
      <name val="Arial"/>
      <family val="2"/>
      <charset val="1"/>
    </font>
    <font>
      <sz val="9"/>
      <name val="Arial"/>
      <family val="2"/>
      <charset val="1"/>
    </font>
    <font>
      <sz val="7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7"/>
      <name val="Arial"/>
      <family val="2"/>
      <charset val="1"/>
    </font>
    <font>
      <sz val="8"/>
      <name val="Verdana"/>
      <family val="2"/>
      <charset val="1"/>
    </font>
    <font>
      <sz val="6"/>
      <name val="Arial"/>
      <family val="2"/>
      <charset val="1"/>
    </font>
    <font>
      <sz val="6"/>
      <name val="Verdana"/>
      <family val="2"/>
      <charset val="1"/>
    </font>
    <font>
      <b val="true"/>
      <sz val="9"/>
      <name val="Arial"/>
      <family val="2"/>
      <charset val="1"/>
    </font>
    <font>
      <sz val="9"/>
      <name val="Verdana"/>
      <family val="2"/>
      <charset val="1"/>
    </font>
    <font>
      <sz val="7"/>
      <name val="Verdana"/>
      <family val="2"/>
      <charset val="1"/>
    </font>
    <font>
      <b val="true"/>
      <sz val="7"/>
      <name val="Arial"/>
      <family val="2"/>
      <charset val="1"/>
    </font>
    <font>
      <b val="true"/>
      <sz val="7"/>
      <name val="Verdana"/>
      <family val="2"/>
      <charset val="1"/>
    </font>
    <font>
      <b val="true"/>
      <sz val="8"/>
      <color theme="1"/>
      <name val="Arial"/>
      <family val="2"/>
      <charset val="1"/>
    </font>
    <font>
      <b val="true"/>
      <sz val="6"/>
      <name val="Arial"/>
      <family val="2"/>
      <charset val="1"/>
    </font>
    <font>
      <b val="true"/>
      <i val="true"/>
      <sz val="9"/>
      <name val="Arial"/>
      <family val="2"/>
      <charset val="1"/>
    </font>
    <font>
      <sz val="9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00000"/>
        <bgColor rgb="FFFF0000"/>
      </patternFill>
    </fill>
    <fill>
      <patternFill patternType="solid">
        <fgColor theme="6" tint="0.3999"/>
        <bgColor rgb="FFD7E4BD"/>
      </patternFill>
    </fill>
    <fill>
      <patternFill patternType="solid">
        <fgColor theme="6" tint="0.7999"/>
        <bgColor rgb="FFEAEAEA"/>
      </patternFill>
    </fill>
    <fill>
      <patternFill patternType="solid">
        <fgColor theme="6" tint="0.5999"/>
        <bgColor rgb="FFD9D9D9"/>
      </patternFill>
    </fill>
    <fill>
      <patternFill patternType="solid">
        <fgColor theme="0" tint="-0.05"/>
        <bgColor rgb="FFEBF1DE"/>
      </patternFill>
    </fill>
    <fill>
      <patternFill patternType="solid">
        <fgColor theme="0"/>
        <bgColor rgb="FFF2F2F2"/>
      </patternFill>
    </fill>
    <fill>
      <patternFill patternType="solid">
        <fgColor rgb="FFFF0000"/>
        <bgColor rgb="FFC00000"/>
      </patternFill>
    </fill>
    <fill>
      <patternFill patternType="solid">
        <fgColor theme="1" tint="0.2499"/>
        <bgColor rgb="FF333300"/>
      </patternFill>
    </fill>
    <fill>
      <patternFill patternType="solid">
        <fgColor theme="6" tint="-0.25"/>
        <bgColor rgb="FF80808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0" tint="-0.25"/>
        <bgColor rgb="FFC3D69B"/>
      </patternFill>
    </fill>
    <fill>
      <patternFill patternType="solid">
        <fgColor rgb="FFEAEAEA"/>
        <bgColor rgb="FFEBF1DE"/>
      </patternFill>
    </fill>
    <fill>
      <patternFill patternType="solid">
        <fgColor rgb="FFE3E3E3"/>
        <bgColor rgb="FFEAEAEA"/>
      </patternFill>
    </fill>
    <fill>
      <patternFill patternType="solid">
        <fgColor theme="0" tint="-0.15"/>
        <bgColor rgb="FFE3E3E3"/>
      </patternFill>
    </fill>
    <fill>
      <patternFill patternType="solid">
        <fgColor theme="0" tint="-0.5"/>
        <bgColor rgb="FF969696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/>
      <top style="thin"/>
      <bottom style="hair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3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0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7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9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11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2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6" fillId="8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3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12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3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33" fillId="9" borderId="0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34" fillId="1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16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34" fillId="0" borderId="4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7" fontId="34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6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" fillId="17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22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9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7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34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9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2" fillId="9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36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2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1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34" fillId="0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3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4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" fillId="5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34" fillId="5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3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70" fontId="3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3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34" fillId="11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1" fillId="11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6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1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6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3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" fillId="0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3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4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1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11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9" fillId="1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3" fillId="1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ENTURY 10" xfId="20"/>
    <cellStyle name="CENTURY 10-1" xfId="21"/>
    <cellStyle name="CENTURY 10-3" xfId="22"/>
    <cellStyle name="century 10-5" xfId="23"/>
    <cellStyle name="CENTURY 11" xfId="24"/>
    <cellStyle name="CENTURY 8-1-3" xfId="25"/>
    <cellStyle name="Euro" xfId="26"/>
    <cellStyle name="_x000b_À&#13;_x0014__x0016_À_x0018__x001a_À_x001d_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7933C"/>
      <rgbColor rgb="FF800080"/>
      <rgbColor rgb="FF008080"/>
      <rgbColor rgb="FFBFBFBF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7E4BD"/>
      <rgbColor rgb="FFE3E3E3"/>
      <rgbColor rgb="FF99CCFF"/>
      <rgbColor rgb="FFFF99CC"/>
      <rgbColor rgb="FFCC99FF"/>
      <rgbColor rgb="FFC3D69B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143640</xdr:colOff>
      <xdr:row>11</xdr:row>
      <xdr:rowOff>38160</xdr:rowOff>
    </xdr:from>
    <xdr:to>
      <xdr:col>6</xdr:col>
      <xdr:colOff>42840</xdr:colOff>
      <xdr:row>21</xdr:row>
      <xdr:rowOff>176040</xdr:rowOff>
    </xdr:to>
    <xdr:sp>
      <xdr:nvSpPr>
        <xdr:cNvPr id="1" name="2 CuadroTexto"/>
        <xdr:cNvSpPr/>
      </xdr:nvSpPr>
      <xdr:spPr>
        <a:xfrm>
          <a:off x="3054600" y="2076480"/>
          <a:ext cx="2316600" cy="145044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ts val="700"/>
            </a:lnSpc>
          </a:pPr>
          <a:r>
            <a:rPr b="1" lang="es-MX" sz="700" strike="noStrike" u="none">
              <a:solidFill>
                <a:schemeClr val="dk1"/>
              </a:solidFill>
              <a:effectLst/>
              <a:uFillTx/>
              <a:latin typeface="Calibri"/>
            </a:rPr>
            <a:t>NOTA: </a:t>
          </a:r>
          <a:r>
            <a:rPr b="1" lang="es-MX" sz="700" strike="noStrike" u="none">
              <a:solidFill>
                <a:srgbClr val="ff0000"/>
              </a:solidFill>
              <a:effectLst/>
              <a:uFillTx/>
              <a:latin typeface="Calibri"/>
            </a:rPr>
            <a:t>AL PONER EL NO. DE CALIFICACIÓN AGREGAR TAMBIEN LA LEYENDA CORRESPONDIENTE...</a:t>
          </a:r>
          <a:endParaRPr b="0" lang="es-MX" sz="7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endParaRPr b="0" lang="es-MX" sz="700" strike="noStrike" u="none">
            <a:effectLst/>
            <a:uFillTx/>
            <a:latin typeface="Times New Roman"/>
          </a:endParaRPr>
        </a:p>
        <a:p>
          <a:pPr>
            <a:lnSpc>
              <a:spcPts val="799"/>
            </a:lnSpc>
          </a:pPr>
          <a:r>
            <a:rPr b="1" lang="es-MX" sz="700" strike="noStrike" u="none">
              <a:solidFill>
                <a:schemeClr val="dk1"/>
              </a:solidFill>
              <a:effectLst/>
              <a:uFillTx/>
              <a:latin typeface="Calibri"/>
            </a:rPr>
            <a:t>E</a:t>
          </a:r>
          <a:r>
            <a:rPr b="1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. CONSERVACIÓN</a:t>
          </a:r>
          <a:r>
            <a:rPr b="1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1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CALIFICACIÓN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NUEVO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10  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99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EXCELENTE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9          (NO MAYOR A 1 AÑO)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MUY BUENO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8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99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BUENO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7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NORMAL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6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NORMAL BAJO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5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REGULAR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4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601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MALO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3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DESECHO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2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INSERVIBLE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1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endParaRPr b="0" lang="es-MX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pageBreakPreview" topLeftCell="A1" colorId="64" zoomScale="150" zoomScaleNormal="100" zoomScalePageLayoutView="150" workbookViewId="0">
      <selection pane="topLeft" activeCell="D23" activeCellId="0" sqref="D23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26.16"/>
    <col collapsed="false" customWidth="true" hidden="false" outlineLevel="0" max="2" min="2" style="1" width="11.43"/>
    <col collapsed="false" customWidth="true" hidden="false" outlineLevel="0" max="3" min="3" style="1" width="3.71"/>
    <col collapsed="false" customWidth="true" hidden="false" outlineLevel="0" max="7" min="4" style="1" width="11.43"/>
    <col collapsed="false" customWidth="true" hidden="false" outlineLevel="0" max="8" min="8" style="1" width="5"/>
    <col collapsed="false" customWidth="true" hidden="true" outlineLevel="0" max="9" min="9" style="1" width="7.42"/>
    <col collapsed="false" customWidth="true" hidden="true" outlineLevel="0" max="10" min="10" style="1" width="7.16"/>
    <col collapsed="false" customWidth="true" hidden="true" outlineLevel="0" max="11" min="11" style="1" width="0.57"/>
    <col collapsed="false" customWidth="true" hidden="true" outlineLevel="0" max="12" min="12" style="1" width="11.43"/>
    <col collapsed="false" customWidth="true" hidden="false" outlineLevel="0" max="256" min="13" style="1" width="11.43"/>
  </cols>
  <sheetData>
    <row r="1" customFormat="false" ht="12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2.75" hidden="false" customHeight="false" outlineLevel="0" collapsed="false">
      <c r="A2" s="3"/>
      <c r="B2" s="4"/>
      <c r="C2" s="4"/>
      <c r="D2" s="4"/>
      <c r="E2" s="4"/>
      <c r="F2" s="4"/>
      <c r="G2" s="4"/>
      <c r="H2" s="4"/>
    </row>
    <row r="3" customFormat="false" ht="12.75" hidden="false" customHeight="false" outlineLevel="0" collapsed="false">
      <c r="A3" s="3" t="s">
        <v>1</v>
      </c>
      <c r="B3" s="4"/>
      <c r="C3" s="4"/>
      <c r="D3" s="4"/>
      <c r="E3" s="4"/>
      <c r="F3" s="4"/>
      <c r="G3" s="4"/>
      <c r="H3" s="4"/>
    </row>
    <row r="4" customFormat="false" ht="4.5" hidden="false" customHeight="true" outlineLevel="0" collapsed="false">
      <c r="A4" s="3"/>
      <c r="B4" s="4"/>
      <c r="C4" s="4"/>
      <c r="D4" s="4"/>
      <c r="E4" s="4"/>
      <c r="F4" s="4"/>
      <c r="G4" s="4"/>
      <c r="H4" s="4"/>
    </row>
    <row r="5" customFormat="false" ht="12.75" hidden="false" customHeight="false" outlineLevel="0" collapsed="false">
      <c r="A5" s="5" t="s">
        <v>2</v>
      </c>
      <c r="B5" s="6" t="s">
        <v>3</v>
      </c>
      <c r="C5" s="6"/>
      <c r="D5" s="6"/>
      <c r="E5" s="6"/>
      <c r="F5" s="6"/>
      <c r="G5" s="6"/>
      <c r="H5" s="4"/>
    </row>
    <row r="6" customFormat="false" ht="12.75" hidden="false" customHeight="false" outlineLevel="0" collapsed="false">
      <c r="A6" s="5" t="s">
        <v>4</v>
      </c>
      <c r="B6" s="7" t="n">
        <v>168</v>
      </c>
      <c r="C6" s="7"/>
      <c r="D6" s="7"/>
      <c r="E6" s="7"/>
      <c r="F6" s="7"/>
      <c r="G6" s="7"/>
      <c r="H6" s="4"/>
    </row>
    <row r="7" customFormat="false" ht="12.75" hidden="false" customHeight="false" outlineLevel="0" collapsed="false">
      <c r="A7" s="5" t="s">
        <v>5</v>
      </c>
      <c r="B7" s="6" t="s">
        <v>6</v>
      </c>
      <c r="C7" s="6"/>
      <c r="D7" s="6"/>
      <c r="E7" s="6"/>
      <c r="F7" s="6"/>
      <c r="G7" s="6"/>
      <c r="H7" s="4"/>
    </row>
    <row r="8" customFormat="false" ht="12.75" hidden="false" customHeight="false" outlineLevel="0" collapsed="false">
      <c r="A8" s="5" t="s">
        <v>7</v>
      </c>
      <c r="B8" s="6" t="s">
        <v>8</v>
      </c>
      <c r="C8" s="6"/>
      <c r="D8" s="6"/>
      <c r="E8" s="6"/>
      <c r="F8" s="6"/>
      <c r="G8" s="6"/>
      <c r="H8" s="4"/>
    </row>
    <row r="9" customFormat="false" ht="12.75" hidden="false" customHeight="false" outlineLevel="0" collapsed="false">
      <c r="A9" s="5" t="s">
        <v>9</v>
      </c>
      <c r="B9" s="6" t="s">
        <v>10</v>
      </c>
      <c r="C9" s="6"/>
      <c r="D9" s="6"/>
      <c r="E9" s="6"/>
      <c r="F9" s="6"/>
      <c r="G9" s="6"/>
      <c r="H9" s="4"/>
    </row>
    <row r="10" customFormat="false" ht="12.75" hidden="false" customHeight="false" outlineLevel="0" collapsed="false">
      <c r="A10" s="8"/>
      <c r="B10" s="4"/>
      <c r="C10" s="4"/>
      <c r="D10" s="4"/>
      <c r="E10" s="4"/>
      <c r="F10" s="4"/>
      <c r="G10" s="4"/>
      <c r="H10" s="4"/>
    </row>
    <row r="11" customFormat="false" ht="41.25" hidden="false" customHeight="true" outlineLevel="0" collapsed="false">
      <c r="A11" s="9" t="s">
        <v>11</v>
      </c>
      <c r="B11" s="10" t="s">
        <v>12</v>
      </c>
      <c r="C11" s="10"/>
      <c r="D11" s="10"/>
      <c r="E11" s="10"/>
      <c r="F11" s="10"/>
      <c r="G11" s="10"/>
      <c r="H11" s="11"/>
    </row>
    <row r="12" customFormat="false" ht="12.75" hidden="false" customHeight="false" outlineLevel="0" collapsed="false">
      <c r="A12" s="12"/>
      <c r="B12" s="4"/>
      <c r="C12" s="4"/>
      <c r="D12" s="4"/>
      <c r="E12" s="4"/>
      <c r="F12" s="4"/>
      <c r="G12" s="4"/>
      <c r="H12" s="4"/>
    </row>
    <row r="13" customFormat="false" ht="8.25" hidden="false" customHeight="true" outlineLevel="0" collapsed="false">
      <c r="A13" s="13"/>
      <c r="B13" s="4"/>
      <c r="C13" s="4"/>
      <c r="D13" s="4"/>
      <c r="E13" s="4"/>
      <c r="F13" s="4"/>
      <c r="G13" s="4"/>
      <c r="H13" s="4"/>
    </row>
    <row r="14" customFormat="false" ht="12.75" hidden="false" customHeight="false" outlineLevel="0" collapsed="false">
      <c r="A14" s="5" t="s">
        <v>13</v>
      </c>
      <c r="B14" s="14" t="n">
        <v>168</v>
      </c>
      <c r="C14" s="15" t="s">
        <v>14</v>
      </c>
      <c r="D14" s="4"/>
      <c r="E14" s="4"/>
      <c r="F14" s="4"/>
      <c r="G14" s="4"/>
      <c r="H14" s="4"/>
    </row>
    <row r="15" s="4" customFormat="true" ht="4.5" hidden="false" customHeight="true" outlineLevel="0" collapsed="false">
      <c r="A15" s="8"/>
      <c r="B15" s="16"/>
      <c r="C15" s="3"/>
    </row>
    <row r="16" customFormat="false" ht="12.75" hidden="false" customHeight="false" outlineLevel="0" collapsed="false">
      <c r="A16" s="5" t="s">
        <v>15</v>
      </c>
      <c r="B16" s="14" t="n">
        <v>90</v>
      </c>
      <c r="C16" s="15" t="s">
        <v>14</v>
      </c>
      <c r="D16" s="4"/>
      <c r="E16" s="4"/>
      <c r="F16" s="4"/>
      <c r="G16" s="4"/>
      <c r="H16" s="4"/>
    </row>
    <row r="17" s="4" customFormat="true" ht="4.5" hidden="false" customHeight="true" outlineLevel="0" collapsed="false">
      <c r="A17" s="13"/>
      <c r="B17" s="16"/>
      <c r="C17" s="3"/>
    </row>
    <row r="18" customFormat="false" ht="13.8" hidden="false" customHeight="false" outlineLevel="0" collapsed="false">
      <c r="A18" s="17" t="s">
        <v>16</v>
      </c>
      <c r="B18" s="14" t="n">
        <v>20</v>
      </c>
      <c r="C18" s="15" t="s">
        <v>17</v>
      </c>
      <c r="D18" s="18"/>
      <c r="E18" s="19"/>
      <c r="F18" s="4"/>
      <c r="G18" s="4"/>
      <c r="H18" s="4"/>
      <c r="J18" s="20" t="s">
        <v>18</v>
      </c>
      <c r="K18" s="20" t="s">
        <v>19</v>
      </c>
    </row>
    <row r="19" s="4" customFormat="true" ht="5.25" hidden="false" customHeight="true" outlineLevel="0" collapsed="false">
      <c r="A19" s="13"/>
      <c r="B19" s="21"/>
      <c r="E19" s="19"/>
    </row>
    <row r="20" customFormat="false" ht="13.8" hidden="false" customHeight="false" outlineLevel="0" collapsed="false">
      <c r="A20" s="17" t="s">
        <v>20</v>
      </c>
      <c r="B20" s="14" t="n">
        <v>8</v>
      </c>
      <c r="C20" s="4"/>
      <c r="D20" s="4"/>
      <c r="E20" s="19"/>
      <c r="F20" s="19"/>
      <c r="G20" s="4"/>
      <c r="H20" s="4"/>
      <c r="I20" s="1" t="n">
        <f aca="false">1-J20</f>
        <v>0.234585095266609</v>
      </c>
      <c r="J20" s="1" t="n">
        <f aca="false">(1-(POWER(B18/60,1.4)))*K20</f>
        <v>0.765414904733391</v>
      </c>
      <c r="K20" s="1" t="n">
        <f aca="false">LOOKUP(B20,{1;2;3;4;5;6;7;8;9;10},{0;0.135;0.248;0.474;0.668;0.819;0.9191;0.9748;0.9968;1})</f>
        <v>0.9748</v>
      </c>
    </row>
    <row r="21" s="4" customFormat="true" ht="15" hidden="false" customHeight="true" outlineLevel="0" collapsed="false">
      <c r="A21" s="17" t="s">
        <v>21</v>
      </c>
      <c r="B21" s="22" t="n">
        <v>100000</v>
      </c>
      <c r="C21" s="23"/>
      <c r="E21" s="19"/>
      <c r="G21" s="19"/>
      <c r="M21" s="23"/>
    </row>
    <row r="22" s="4" customFormat="true" ht="15" hidden="false" customHeight="true" outlineLevel="0" collapsed="false">
      <c r="A22" s="17" t="s">
        <v>22</v>
      </c>
      <c r="B22" s="22" t="n">
        <v>13500</v>
      </c>
      <c r="C22" s="23"/>
      <c r="E22" s="19"/>
      <c r="G22" s="19"/>
      <c r="M22" s="23"/>
    </row>
    <row r="23" s="4" customFormat="true" ht="15" hidden="false" customHeight="true" outlineLevel="0" collapsed="false">
      <c r="A23" s="8"/>
      <c r="B23" s="23"/>
      <c r="C23" s="23"/>
      <c r="E23" s="19"/>
      <c r="G23" s="19"/>
      <c r="M23" s="23"/>
    </row>
    <row r="24" customFormat="false" ht="13.8" hidden="false" customHeight="false" outlineLevel="0" collapsed="false">
      <c r="A24" s="12" t="s">
        <v>23</v>
      </c>
      <c r="B24" s="24" t="s">
        <v>24</v>
      </c>
      <c r="C24" s="24"/>
      <c r="D24" s="24"/>
      <c r="E24" s="24"/>
      <c r="F24" s="24"/>
      <c r="G24" s="24"/>
      <c r="H24" s="19"/>
    </row>
    <row r="25" customFormat="false" ht="13.8" hidden="false" customHeight="false" outlineLevel="0" collapsed="false">
      <c r="A25" s="12" t="s">
        <v>25</v>
      </c>
      <c r="B25" s="25" t="s">
        <v>26</v>
      </c>
      <c r="C25" s="26"/>
      <c r="D25" s="26"/>
      <c r="E25" s="27"/>
      <c r="F25" s="26"/>
      <c r="G25" s="27"/>
      <c r="H25" s="4"/>
    </row>
    <row r="26" customFormat="false" ht="13.8" hidden="false" customHeight="false" outlineLevel="0" collapsed="false">
      <c r="A26" s="12" t="s">
        <v>27</v>
      </c>
      <c r="B26" s="28" t="s">
        <v>28</v>
      </c>
      <c r="C26" s="26"/>
      <c r="D26" s="26"/>
      <c r="E26" s="27"/>
      <c r="F26" s="27"/>
      <c r="G26" s="26"/>
      <c r="H26" s="4"/>
    </row>
    <row r="27" customFormat="false" ht="12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2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12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2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12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12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12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2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12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2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2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</row>
  </sheetData>
  <sheetProtection sheet="true" password="cc1a"/>
  <mergeCells count="8">
    <mergeCell ref="A1:H1"/>
    <mergeCell ref="B5:G5"/>
    <mergeCell ref="B6:G6"/>
    <mergeCell ref="B7:G7"/>
    <mergeCell ref="B8:G8"/>
    <mergeCell ref="B9:G9"/>
    <mergeCell ref="B11:G11"/>
    <mergeCell ref="B24:G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D40" activeCellId="0" sqref="D40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28.57"/>
    <col collapsed="false" customWidth="true" hidden="false" outlineLevel="0" max="2" min="2" style="1" width="28.29"/>
    <col collapsed="false" customWidth="true" hidden="false" outlineLevel="0" max="3" min="3" style="1" width="4.71"/>
    <col collapsed="false" customWidth="true" hidden="false" outlineLevel="0" max="4" min="4" style="1" width="26.16"/>
    <col collapsed="false" customWidth="true" hidden="false" outlineLevel="0" max="5" min="5" style="1" width="29"/>
    <col collapsed="false" customWidth="true" hidden="false" outlineLevel="0" max="6" min="6" style="1" width="5.29"/>
    <col collapsed="false" customWidth="true" hidden="false" outlineLevel="0" max="7" min="7" style="1" width="27"/>
    <col collapsed="false" customWidth="true" hidden="false" outlineLevel="0" max="8" min="8" style="1" width="29.42"/>
    <col collapsed="false" customWidth="true" hidden="false" outlineLevel="0" max="9" min="9" style="1" width="5.57"/>
    <col collapsed="false" customWidth="true" hidden="false" outlineLevel="0" max="10" min="10" style="1" width="3.42"/>
    <col collapsed="false" customWidth="true" hidden="false" outlineLevel="0" max="11" min="11" style="1" width="5.29"/>
    <col collapsed="false" customWidth="true" hidden="false" outlineLevel="0" max="256" min="12" style="1" width="11.43"/>
  </cols>
  <sheetData>
    <row r="1" customFormat="false" ht="17.35" hidden="false" customHeight="false" outlineLevel="0" collapsed="false">
      <c r="A1" s="29" t="s">
        <v>29</v>
      </c>
      <c r="B1" s="29"/>
      <c r="C1" s="30"/>
      <c r="D1" s="31" t="s">
        <v>30</v>
      </c>
      <c r="E1" s="31"/>
      <c r="F1" s="30"/>
      <c r="G1" s="29" t="s">
        <v>31</v>
      </c>
      <c r="H1" s="29"/>
      <c r="I1" s="4"/>
    </row>
    <row r="2" customFormat="false" ht="12.75" hidden="false" customHeight="false" outlineLevel="0" collapsed="false">
      <c r="A2" s="4"/>
      <c r="B2" s="4"/>
      <c r="C2" s="30"/>
      <c r="D2" s="4"/>
      <c r="E2" s="4"/>
      <c r="F2" s="30"/>
      <c r="G2" s="4"/>
      <c r="H2" s="4"/>
      <c r="I2" s="4"/>
    </row>
    <row r="3" customFormat="false" ht="15" hidden="false" customHeight="false" outlineLevel="0" collapsed="false">
      <c r="A3" s="32" t="s">
        <v>32</v>
      </c>
      <c r="B3" s="33" t="n">
        <v>950000</v>
      </c>
      <c r="C3" s="30"/>
      <c r="D3" s="32" t="s">
        <v>32</v>
      </c>
      <c r="E3" s="33" t="n">
        <v>730000</v>
      </c>
      <c r="F3" s="30"/>
      <c r="G3" s="32" t="s">
        <v>32</v>
      </c>
      <c r="H3" s="33" t="n">
        <v>2450000</v>
      </c>
      <c r="I3" s="4"/>
    </row>
    <row r="4" customFormat="false" ht="12.75" hidden="false" customHeight="false" outlineLevel="0" collapsed="false">
      <c r="A4" s="34"/>
      <c r="B4" s="28"/>
      <c r="C4" s="30"/>
      <c r="E4" s="28"/>
      <c r="F4" s="30"/>
      <c r="H4" s="28"/>
      <c r="I4" s="4"/>
    </row>
    <row r="5" customFormat="false" ht="12.75" hidden="false" customHeight="false" outlineLevel="0" collapsed="false">
      <c r="A5" s="35" t="s">
        <v>33</v>
      </c>
      <c r="B5" s="36" t="s">
        <v>34</v>
      </c>
      <c r="C5" s="30"/>
      <c r="D5" s="35" t="s">
        <v>33</v>
      </c>
      <c r="E5" s="36" t="s">
        <v>35</v>
      </c>
      <c r="F5" s="30"/>
      <c r="G5" s="35" t="s">
        <v>33</v>
      </c>
      <c r="H5" s="36" t="s">
        <v>35</v>
      </c>
      <c r="I5" s="4"/>
    </row>
    <row r="6" customFormat="false" ht="12.75" hidden="false" customHeight="false" outlineLevel="0" collapsed="false">
      <c r="A6" s="35" t="s">
        <v>36</v>
      </c>
      <c r="B6" s="36" t="s">
        <v>37</v>
      </c>
      <c r="C6" s="30"/>
      <c r="D6" s="35" t="s">
        <v>36</v>
      </c>
      <c r="E6" s="36" t="s">
        <v>38</v>
      </c>
      <c r="F6" s="30"/>
      <c r="G6" s="35" t="s">
        <v>36</v>
      </c>
      <c r="H6" s="36" t="s">
        <v>39</v>
      </c>
      <c r="I6" s="4"/>
    </row>
    <row r="7" customFormat="false" ht="12.75" hidden="false" customHeight="false" outlineLevel="0" collapsed="false">
      <c r="A7" s="35" t="s">
        <v>40</v>
      </c>
      <c r="B7" s="36" t="s">
        <v>8</v>
      </c>
      <c r="C7" s="30"/>
      <c r="D7" s="35" t="s">
        <v>40</v>
      </c>
      <c r="E7" s="36" t="s">
        <v>8</v>
      </c>
      <c r="F7" s="30"/>
      <c r="G7" s="35" t="s">
        <v>40</v>
      </c>
      <c r="H7" s="36" t="s">
        <v>8</v>
      </c>
      <c r="I7" s="4"/>
    </row>
    <row r="8" customFormat="false" ht="12.75" hidden="false" customHeight="false" outlineLevel="0" collapsed="false">
      <c r="A8" s="35" t="s">
        <v>41</v>
      </c>
      <c r="B8" s="36" t="s">
        <v>42</v>
      </c>
      <c r="C8" s="30"/>
      <c r="D8" s="35" t="s">
        <v>41</v>
      </c>
      <c r="E8" s="36" t="s">
        <v>42</v>
      </c>
      <c r="F8" s="30"/>
      <c r="G8" s="35" t="s">
        <v>41</v>
      </c>
      <c r="H8" s="36" t="s">
        <v>42</v>
      </c>
      <c r="I8" s="4"/>
    </row>
    <row r="9" s="4" customFormat="true" ht="7.5" hidden="false" customHeight="true" outlineLevel="0" collapsed="false">
      <c r="A9" s="37"/>
      <c r="B9" s="21"/>
      <c r="C9" s="30"/>
      <c r="D9" s="37"/>
      <c r="E9" s="21"/>
      <c r="F9" s="30"/>
      <c r="G9" s="37"/>
      <c r="H9" s="21"/>
    </row>
    <row r="10" customFormat="false" ht="12.75" hidden="false" customHeight="false" outlineLevel="0" collapsed="false">
      <c r="A10" s="35" t="s">
        <v>43</v>
      </c>
      <c r="B10" s="14" t="n">
        <v>90</v>
      </c>
      <c r="C10" s="38" t="s">
        <v>14</v>
      </c>
      <c r="D10" s="35" t="s">
        <v>43</v>
      </c>
      <c r="E10" s="14" t="n">
        <v>97</v>
      </c>
      <c r="F10" s="38" t="s">
        <v>14</v>
      </c>
      <c r="G10" s="35" t="s">
        <v>43</v>
      </c>
      <c r="H10" s="14" t="n">
        <v>105</v>
      </c>
      <c r="I10" s="3" t="s">
        <v>14</v>
      </c>
    </row>
    <row r="11" customFormat="false" ht="12.75" hidden="false" customHeight="false" outlineLevel="0" collapsed="false">
      <c r="A11" s="35" t="s">
        <v>44</v>
      </c>
      <c r="B11" s="39" t="n">
        <v>75</v>
      </c>
      <c r="C11" s="38" t="s">
        <v>14</v>
      </c>
      <c r="D11" s="35" t="s">
        <v>44</v>
      </c>
      <c r="E11" s="39" t="n">
        <v>50</v>
      </c>
      <c r="F11" s="38" t="s">
        <v>14</v>
      </c>
      <c r="G11" s="35" t="s">
        <v>44</v>
      </c>
      <c r="H11" s="39" t="n">
        <v>188</v>
      </c>
      <c r="I11" s="3" t="s">
        <v>14</v>
      </c>
    </row>
    <row r="12" s="43" customFormat="true" ht="5.25" hidden="false" customHeight="true" outlineLevel="0" collapsed="false">
      <c r="A12" s="40"/>
      <c r="B12" s="41"/>
      <c r="C12" s="42"/>
      <c r="D12" s="40"/>
      <c r="E12" s="41"/>
      <c r="F12" s="42"/>
      <c r="G12" s="40"/>
      <c r="H12" s="41"/>
    </row>
    <row r="13" customFormat="false" ht="12.75" hidden="false" customHeight="false" outlineLevel="0" collapsed="false">
      <c r="A13" s="35" t="s">
        <v>45</v>
      </c>
      <c r="B13" s="14" t="n">
        <v>20</v>
      </c>
      <c r="C13" s="30"/>
      <c r="D13" s="35" t="s">
        <v>45</v>
      </c>
      <c r="E13" s="14" t="n">
        <v>20</v>
      </c>
      <c r="F13" s="30"/>
      <c r="G13" s="35" t="s">
        <v>45</v>
      </c>
      <c r="H13" s="14" t="n">
        <v>15</v>
      </c>
      <c r="I13" s="4"/>
    </row>
    <row r="14" s="4" customFormat="true" ht="12.75" hidden="false" customHeight="false" outlineLevel="0" collapsed="false">
      <c r="A14" s="44" t="s">
        <v>46</v>
      </c>
      <c r="B14" s="21"/>
      <c r="D14" s="45" t="s">
        <v>46</v>
      </c>
      <c r="E14" s="21"/>
      <c r="G14" s="44" t="s">
        <v>46</v>
      </c>
      <c r="H14" s="21"/>
    </row>
    <row r="15" s="4" customFormat="true" ht="6.75" hidden="false" customHeight="true" outlineLevel="0" collapsed="false">
      <c r="B15" s="21"/>
      <c r="D15" s="13"/>
      <c r="E15" s="21"/>
      <c r="H15" s="21"/>
    </row>
    <row r="16" customFormat="false" ht="12.75" hidden="false" customHeight="false" outlineLevel="0" collapsed="false">
      <c r="A16" s="35" t="s">
        <v>47</v>
      </c>
      <c r="B16" s="14" t="n">
        <v>7</v>
      </c>
      <c r="C16" s="30"/>
      <c r="D16" s="35" t="s">
        <v>47</v>
      </c>
      <c r="E16" s="14" t="n">
        <v>7</v>
      </c>
      <c r="F16" s="30"/>
      <c r="G16" s="35" t="s">
        <v>47</v>
      </c>
      <c r="H16" s="14" t="n">
        <v>8</v>
      </c>
      <c r="I16" s="4"/>
    </row>
    <row r="17" s="4" customFormat="true" ht="12.75" hidden="false" customHeight="false" outlineLevel="0" collapsed="false">
      <c r="C17" s="30"/>
      <c r="F17" s="30"/>
    </row>
    <row r="18" customFormat="false" ht="12.75" hidden="false" customHeight="false" outlineLevel="0" collapsed="false">
      <c r="A18" s="46" t="s">
        <v>48</v>
      </c>
      <c r="B18" s="46" t="s">
        <v>49</v>
      </c>
      <c r="C18" s="47" t="s">
        <v>50</v>
      </c>
      <c r="D18" s="48"/>
      <c r="E18" s="48"/>
      <c r="F18" s="49"/>
      <c r="G18" s="4"/>
      <c r="H18" s="4"/>
      <c r="I18" s="4"/>
    </row>
    <row r="19" customFormat="false" ht="12.75" hidden="false" customHeight="false" outlineLevel="0" collapsed="false">
      <c r="A19" s="50" t="n">
        <v>1</v>
      </c>
      <c r="B19" s="50" t="s">
        <v>51</v>
      </c>
      <c r="C19" s="51" t="s">
        <v>52</v>
      </c>
      <c r="D19" s="48"/>
      <c r="E19" s="48"/>
      <c r="F19" s="49"/>
      <c r="G19" s="4"/>
      <c r="H19" s="4"/>
      <c r="I19" s="4"/>
    </row>
    <row r="20" customFormat="false" ht="12.75" hidden="false" customHeight="false" outlineLevel="0" collapsed="false">
      <c r="A20" s="50" t="n">
        <v>2</v>
      </c>
      <c r="B20" s="50" t="s">
        <v>53</v>
      </c>
      <c r="C20" s="51" t="s">
        <v>54</v>
      </c>
      <c r="D20" s="48"/>
      <c r="E20" s="48"/>
      <c r="F20" s="49"/>
      <c r="G20" s="4"/>
      <c r="H20" s="4"/>
      <c r="I20" s="4"/>
    </row>
    <row r="21" customFormat="false" ht="12.75" hidden="false" customHeight="false" outlineLevel="0" collapsed="false">
      <c r="A21" s="50" t="n">
        <v>3</v>
      </c>
      <c r="B21" s="50" t="s">
        <v>55</v>
      </c>
      <c r="C21" s="51" t="s">
        <v>56</v>
      </c>
      <c r="D21" s="48"/>
      <c r="E21" s="48"/>
      <c r="F21" s="49"/>
      <c r="G21" s="4"/>
      <c r="H21" s="4"/>
      <c r="I21" s="4"/>
    </row>
    <row r="22" customFormat="false" ht="12.75" hidden="false" customHeight="false" outlineLevel="0" collapsed="false">
      <c r="A22" s="50" t="n">
        <v>4</v>
      </c>
      <c r="B22" s="50" t="s">
        <v>57</v>
      </c>
      <c r="C22" s="51" t="s">
        <v>58</v>
      </c>
      <c r="D22" s="48"/>
      <c r="E22" s="48"/>
      <c r="F22" s="49"/>
      <c r="G22" s="4"/>
      <c r="H22" s="4"/>
      <c r="I22" s="4"/>
    </row>
    <row r="23" customFormat="false" ht="12.75" hidden="false" customHeight="false" outlineLevel="0" collapsed="false">
      <c r="A23" s="50" t="n">
        <v>5</v>
      </c>
      <c r="B23" s="50" t="s">
        <v>59</v>
      </c>
      <c r="C23" s="51" t="s">
        <v>60</v>
      </c>
      <c r="D23" s="48"/>
      <c r="E23" s="48"/>
      <c r="F23" s="49"/>
      <c r="G23" s="4"/>
      <c r="H23" s="4"/>
      <c r="I23" s="4"/>
    </row>
    <row r="24" customFormat="false" ht="12.75" hidden="false" customHeight="false" outlineLevel="0" collapsed="false">
      <c r="A24" s="50" t="n">
        <v>6</v>
      </c>
      <c r="B24" s="50" t="s">
        <v>61</v>
      </c>
      <c r="C24" s="51" t="s">
        <v>62</v>
      </c>
      <c r="D24" s="48"/>
      <c r="E24" s="48"/>
      <c r="F24" s="49"/>
      <c r="G24" s="4"/>
      <c r="H24" s="4"/>
      <c r="I24" s="4"/>
    </row>
    <row r="25" customFormat="false" ht="12.75" hidden="false" customHeight="false" outlineLevel="0" collapsed="false">
      <c r="A25" s="50" t="n">
        <v>7</v>
      </c>
      <c r="B25" s="50" t="s">
        <v>63</v>
      </c>
      <c r="C25" s="51" t="s">
        <v>64</v>
      </c>
      <c r="D25" s="48"/>
      <c r="E25" s="48"/>
      <c r="F25" s="49"/>
      <c r="G25" s="4"/>
      <c r="H25" s="4"/>
      <c r="I25" s="4"/>
    </row>
    <row r="26" customFormat="false" ht="12.75" hidden="false" customHeight="false" outlineLevel="0" collapsed="false">
      <c r="A26" s="50" t="n">
        <v>8</v>
      </c>
      <c r="B26" s="50" t="s">
        <v>65</v>
      </c>
      <c r="C26" s="51" t="s">
        <v>66</v>
      </c>
      <c r="D26" s="48"/>
      <c r="E26" s="48"/>
      <c r="F26" s="49"/>
      <c r="G26" s="4"/>
      <c r="H26" s="4"/>
      <c r="I26" s="4"/>
    </row>
    <row r="27" customFormat="false" ht="12.75" hidden="false" customHeight="false" outlineLevel="0" collapsed="false">
      <c r="A27" s="50" t="n">
        <v>9</v>
      </c>
      <c r="B27" s="50" t="s">
        <v>67</v>
      </c>
      <c r="C27" s="51" t="s">
        <v>68</v>
      </c>
      <c r="D27" s="48"/>
      <c r="E27" s="48"/>
      <c r="F27" s="49"/>
      <c r="G27" s="4"/>
      <c r="H27" s="4"/>
      <c r="I27" s="4"/>
    </row>
    <row r="28" customFormat="false" ht="12.75" hidden="false" customHeight="false" outlineLevel="0" collapsed="false">
      <c r="A28" s="50" t="n">
        <v>10</v>
      </c>
      <c r="B28" s="50" t="s">
        <v>69</v>
      </c>
      <c r="C28" s="51" t="s">
        <v>70</v>
      </c>
      <c r="D28" s="48"/>
      <c r="E28" s="48"/>
      <c r="F28" s="49"/>
      <c r="G28" s="4"/>
      <c r="H28" s="4"/>
      <c r="I28" s="4"/>
    </row>
    <row r="29" customFormat="false" ht="12.75" hidden="false" customHeight="false" outlineLevel="0" collapsed="false">
      <c r="A29" s="3"/>
      <c r="B29" s="3"/>
      <c r="C29" s="4"/>
      <c r="D29" s="4"/>
      <c r="E29" s="4"/>
      <c r="F29" s="4"/>
      <c r="G29" s="4"/>
      <c r="H29" s="4"/>
      <c r="I29" s="4"/>
    </row>
    <row r="30" customFormat="false" ht="12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</row>
    <row r="31" customFormat="false" ht="12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</row>
    <row r="32" customFormat="false" ht="12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</row>
    <row r="33" customFormat="false" ht="12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</row>
    <row r="34" customFormat="false" ht="12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</row>
    <row r="35" customFormat="false" ht="12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</row>
    <row r="36" customFormat="false" ht="12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</row>
    <row r="37" customFormat="false" ht="12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2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2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</row>
    <row r="59" customFormat="false" ht="12.75" hidden="false" customHeight="false" outlineLevel="0" collapsed="false">
      <c r="C59" s="1" t="n">
        <v>10</v>
      </c>
    </row>
    <row r="60" customFormat="false" ht="12.75" hidden="false" customHeight="false" outlineLevel="0" collapsed="false">
      <c r="C60" s="1" t="n">
        <v>9</v>
      </c>
    </row>
    <row r="61" customFormat="false" ht="12.75" hidden="false" customHeight="false" outlineLevel="0" collapsed="false">
      <c r="C61" s="1" t="n">
        <v>8</v>
      </c>
    </row>
    <row r="62" customFormat="false" ht="12.75" hidden="false" customHeight="false" outlineLevel="0" collapsed="false">
      <c r="C62" s="1" t="n">
        <v>7</v>
      </c>
    </row>
    <row r="63" customFormat="false" ht="12.75" hidden="false" customHeight="false" outlineLevel="0" collapsed="false">
      <c r="C63" s="1" t="n">
        <v>6</v>
      </c>
    </row>
    <row r="64" customFormat="false" ht="12.75" hidden="false" customHeight="false" outlineLevel="0" collapsed="false">
      <c r="C64" s="1" t="n">
        <v>5</v>
      </c>
    </row>
    <row r="65" customFormat="false" ht="12.75" hidden="false" customHeight="false" outlineLevel="0" collapsed="false">
      <c r="C65" s="1" t="n">
        <v>4</v>
      </c>
    </row>
    <row r="66" customFormat="false" ht="12.75" hidden="false" customHeight="false" outlineLevel="0" collapsed="false">
      <c r="C66" s="1" t="n">
        <v>3</v>
      </c>
    </row>
    <row r="67" customFormat="false" ht="12.75" hidden="false" customHeight="false" outlineLevel="0" collapsed="false">
      <c r="C67" s="1" t="n">
        <v>2</v>
      </c>
    </row>
    <row r="68" customFormat="false" ht="12.75" hidden="false" customHeight="false" outlineLevel="0" collapsed="false">
      <c r="C68" s="1" t="n">
        <v>1</v>
      </c>
    </row>
  </sheetData>
  <sheetProtection sheet="true" password="cc1a"/>
  <mergeCells count="3">
    <mergeCell ref="A1:B1"/>
    <mergeCell ref="D1:E1"/>
    <mergeCell ref="G1:H1"/>
  </mergeCells>
  <dataValidations count="1">
    <dataValidation allowBlank="true" errorStyle="stop" operator="between" showDropDown="false" showErrorMessage="true" showInputMessage="true" sqref="B16 E16 H16" type="list">
      <formula1>$C$59:$C$68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737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F23" activeCellId="0" sqref="F23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1" width="14.71"/>
    <col collapsed="false" customWidth="true" hidden="false" outlineLevel="0" max="3" min="3" style="1" width="6.29"/>
    <col collapsed="false" customWidth="true" hidden="false" outlineLevel="0" max="5" min="4" style="1" width="9.71"/>
    <col collapsed="false" customWidth="true" hidden="false" outlineLevel="0" max="6" min="6" style="1" width="7.57"/>
    <col collapsed="false" customWidth="true" hidden="false" outlineLevel="0" max="7" min="7" style="1" width="7.29"/>
    <col collapsed="false" customWidth="true" hidden="false" outlineLevel="0" max="8" min="8" style="1" width="10.29"/>
    <col collapsed="false" customWidth="true" hidden="false" outlineLevel="0" max="9" min="9" style="1" width="5.71"/>
    <col collapsed="false" customWidth="true" hidden="false" outlineLevel="0" max="10" min="10" style="1" width="8.86"/>
    <col collapsed="false" customWidth="true" hidden="false" outlineLevel="0" max="11" min="11" style="1" width="6.14"/>
    <col collapsed="false" customWidth="true" hidden="false" outlineLevel="0" max="12" min="12" style="1" width="4.42"/>
    <col collapsed="false" customWidth="true" hidden="false" outlineLevel="0" max="13" min="13" style="1" width="12.71"/>
    <col collapsed="false" customWidth="true" hidden="true" outlineLevel="0" max="14" min="14" style="1" width="2.71"/>
    <col collapsed="false" customWidth="true" hidden="true" outlineLevel="0" max="15" min="15" style="1" width="6.85"/>
    <col collapsed="false" customWidth="true" hidden="true" outlineLevel="0" max="16" min="16" style="1" width="7.57"/>
    <col collapsed="false" customWidth="true" hidden="true" outlineLevel="0" max="17" min="17" style="1" width="4.57"/>
    <col collapsed="false" customWidth="true" hidden="true" outlineLevel="0" max="18" min="18" style="1" width="4.71"/>
    <col collapsed="false" customWidth="true" hidden="true" outlineLevel="0" max="19" min="19" style="1" width="4.86"/>
    <col collapsed="false" customWidth="true" hidden="true" outlineLevel="0" max="20" min="20" style="1" width="11"/>
    <col collapsed="false" customWidth="true" hidden="true" outlineLevel="0" max="21" min="21" style="1" width="8.15"/>
    <col collapsed="false" customWidth="true" hidden="true" outlineLevel="0" max="22" min="22" style="1" width="12"/>
    <col collapsed="false" customWidth="true" hidden="true" outlineLevel="0" max="23" min="23" style="1" width="20.42"/>
    <col collapsed="false" customWidth="true" hidden="true" outlineLevel="0" max="24" min="24" style="1" width="9"/>
    <col collapsed="false" customWidth="true" hidden="false" outlineLevel="0" max="26" min="25" style="1" width="10.57"/>
    <col collapsed="false" customWidth="true" hidden="false" outlineLevel="0" max="256" min="27" style="1" width="11.43"/>
  </cols>
  <sheetData>
    <row r="1" s="20" customFormat="true" ht="67.5" hidden="false" customHeight="true" outlineLevel="0" collapsed="false">
      <c r="A1" s="52" t="s">
        <v>71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="20" customFormat="true" ht="4.5" hidden="false" customHeight="true" outlineLevel="0" collapsed="false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customFormat="false" ht="16.5" hidden="false" customHeight="true" outlineLevel="0" collapsed="false">
      <c r="A3" s="54" t="s">
        <v>72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customFormat="false" ht="3.75" hidden="false" customHeight="true" outlineLevel="0" collapsed="false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customFormat="false" ht="34.5" hidden="false" customHeight="true" outlineLevel="0" collapsed="false">
      <c r="A5" s="56" t="str">
        <f aca="false">CONCATENATE("INMUEBLE UBICADO EN"," ",'CAPTURA INMUEBLE'!A5," ",'CAPTURA INMUEBLE'!B5," ","No."," ",'CAPTURA INMUEBLE'!B6,","," ",'CAPTURA INMUEBLE'!B7,","," ",'CAPTURA INMUEBLE'!B8,","," ",'CAPTURA INMUEBLE'!B9)</f>
        <v>INMUEBLE UBICADO EN Calle: VILLA NAPOLES No. 168, PRIVADA DE LAS VILLAS, GARCIA, Nuevo Léon.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</row>
    <row r="6" customFormat="false" ht="28.5" hidden="true" customHeight="true" outlineLevel="0" collapsed="false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</row>
    <row r="7" customFormat="false" ht="33.75" hidden="false" customHeight="true" outlineLevel="0" collapsed="false">
      <c r="A7" s="58" t="s">
        <v>11</v>
      </c>
      <c r="B7" s="58"/>
      <c r="C7" s="59" t="str">
        <f aca="false">'CAPTURA INMUEBLE'!B11</f>
        <v>Casa de dos plantas, área social amplia, patio con pequeña alberca. 1 recamara, 2 baños completos, cocina integral, lavandería, minisplits, aires lavados, abanicos de techo, acabados en piedra y madera. </v>
      </c>
      <c r="D7" s="59"/>
      <c r="E7" s="59"/>
      <c r="F7" s="59"/>
      <c r="G7" s="59"/>
      <c r="H7" s="59"/>
      <c r="I7" s="59"/>
      <c r="J7" s="59"/>
      <c r="K7" s="59"/>
      <c r="L7" s="59"/>
      <c r="M7" s="59"/>
    </row>
    <row r="8" customFormat="false" ht="3" hidden="false" customHeight="true" outlineLevel="0" collapsed="false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</row>
    <row r="9" s="63" customFormat="true" ht="34.5" hidden="false" customHeight="true" outlineLevel="0" collapsed="false">
      <c r="A9" s="60" t="s">
        <v>73</v>
      </c>
      <c r="B9" s="60" t="s">
        <v>74</v>
      </c>
      <c r="C9" s="60"/>
      <c r="D9" s="60"/>
      <c r="E9" s="60"/>
      <c r="F9" s="61" t="s">
        <v>75</v>
      </c>
      <c r="G9" s="61"/>
      <c r="H9" s="61" t="s">
        <v>76</v>
      </c>
      <c r="I9" s="62" t="s">
        <v>77</v>
      </c>
      <c r="J9" s="61" t="s">
        <v>78</v>
      </c>
      <c r="K9" s="61"/>
      <c r="L9" s="61"/>
      <c r="M9" s="61"/>
      <c r="P9" s="64"/>
    </row>
    <row r="10" s="63" customFormat="true" ht="26.25" hidden="false" customHeight="true" outlineLevel="0" collapsed="false">
      <c r="A10" s="65" t="n">
        <v>1</v>
      </c>
      <c r="B10" s="66" t="str">
        <f aca="false">CONCATENATE('C. REFERENCIAS'!B5,","," ","COL."," ",'C. REFERENCIAS'!B6,","," ",'C. REFERENCIAS'!B7,","," ",'C. REFERENCIAS'!B8)</f>
        <v>VILLA VALENCIA, COL. PRIV DE LAS VILLAS , GARCIA, NUEVO LEÓN</v>
      </c>
      <c r="C10" s="66"/>
      <c r="D10" s="66"/>
      <c r="E10" s="66"/>
      <c r="F10" s="67" t="n">
        <f aca="false">'C. REFERENCIAS'!B10</f>
        <v>90</v>
      </c>
      <c r="G10" s="67"/>
      <c r="H10" s="67" t="n">
        <f aca="false">'C. REFERENCIAS'!B11</f>
        <v>75</v>
      </c>
      <c r="I10" s="68" t="n">
        <f aca="false">'C. REFERENCIAS'!B13</f>
        <v>20</v>
      </c>
      <c r="J10" s="69" t="n">
        <f aca="false">'C. REFERENCIAS'!B3</f>
        <v>950000</v>
      </c>
      <c r="K10" s="69"/>
      <c r="L10" s="69"/>
      <c r="M10" s="69"/>
      <c r="O10" s="70" t="s">
        <v>79</v>
      </c>
      <c r="P10" s="64"/>
      <c r="Q10" s="70" t="s">
        <v>48</v>
      </c>
      <c r="R10" s="70" t="s">
        <v>19</v>
      </c>
      <c r="S10" s="71" t="s">
        <v>80</v>
      </c>
      <c r="T10" s="71"/>
    </row>
    <row r="11" s="63" customFormat="true" ht="12.75" hidden="false" customHeight="true" outlineLevel="0" collapsed="false">
      <c r="A11" s="65"/>
      <c r="B11" s="72" t="s">
        <v>81</v>
      </c>
      <c r="C11" s="72"/>
      <c r="D11" s="72"/>
      <c r="E11" s="72"/>
      <c r="F11" s="72"/>
      <c r="G11" s="72"/>
      <c r="H11" s="72"/>
      <c r="I11" s="73" t="n">
        <f aca="false">'C. REFERENCIAS'!B16</f>
        <v>7</v>
      </c>
      <c r="J11" s="74"/>
      <c r="K11" s="74"/>
      <c r="L11" s="74"/>
      <c r="M11" s="74"/>
      <c r="O11" s="70" t="n">
        <f aca="false">I10</f>
        <v>20</v>
      </c>
      <c r="P11" s="75" t="n">
        <v>60</v>
      </c>
      <c r="Q11" s="70" t="n">
        <f aca="false">I11</f>
        <v>7</v>
      </c>
      <c r="R11" s="70" t="n">
        <f aca="false">LOOKUP(Q11,{1;2;3;4;5;6;7;8;9;10},{0;0.135;0.248;0.474;0.668;0.819;0.9191;0.9748;0.9968;1})</f>
        <v>0.9191</v>
      </c>
      <c r="S11" s="70" t="n">
        <f aca="false">(1-(POWER(O11/P11,1.4)))*R11</f>
        <v>0.721679153611469</v>
      </c>
      <c r="T11" s="70" t="n">
        <f aca="false">1-S11</f>
        <v>0.278320846388531</v>
      </c>
      <c r="U11" s="63" t="n">
        <f aca="false">'CAPTURA INMUEBLE'!I20-T11</f>
        <v>-0.0437357511219223</v>
      </c>
    </row>
    <row r="12" s="63" customFormat="true" ht="4.5" hidden="false" customHeight="true" outlineLevel="0" collapsed="false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O12" s="70"/>
      <c r="P12" s="75"/>
      <c r="Q12" s="70"/>
      <c r="R12" s="70"/>
      <c r="S12" s="70"/>
      <c r="T12" s="70"/>
    </row>
    <row r="13" s="63" customFormat="true" ht="25.5" hidden="false" customHeight="true" outlineLevel="0" collapsed="false">
      <c r="A13" s="77" t="n">
        <v>2</v>
      </c>
      <c r="B13" s="66" t="str">
        <f aca="false">CONCATENATE('C. REFERENCIAS'!E5,","," ","COL."," ",'C. REFERENCIAS'!E6,","," ",'C. REFERENCIAS'!E7,","," ",'C. REFERENCIAS'!E8)</f>
        <v>NA, COL. LAS VILLAS, GARCIA, NUEVO LEÓN</v>
      </c>
      <c r="C13" s="66"/>
      <c r="D13" s="66"/>
      <c r="E13" s="66"/>
      <c r="F13" s="78" t="n">
        <f aca="false">'C. REFERENCIAS'!E10</f>
        <v>97</v>
      </c>
      <c r="G13" s="78"/>
      <c r="H13" s="78" t="n">
        <f aca="false">'C. REFERENCIAS'!E11</f>
        <v>50</v>
      </c>
      <c r="I13" s="79" t="n">
        <f aca="false">'C. REFERENCIAS'!E13</f>
        <v>20</v>
      </c>
      <c r="J13" s="80" t="n">
        <f aca="false">'C. REFERENCIAS'!E3</f>
        <v>730000</v>
      </c>
      <c r="K13" s="80"/>
      <c r="L13" s="80"/>
      <c r="M13" s="80"/>
      <c r="P13" s="70"/>
      <c r="Q13" s="70"/>
      <c r="S13" s="70"/>
      <c r="T13" s="70"/>
      <c r="X13" s="81"/>
      <c r="AA13" s="81"/>
    </row>
    <row r="14" s="63" customFormat="true" ht="12.75" hidden="false" customHeight="true" outlineLevel="0" collapsed="false">
      <c r="A14" s="77"/>
      <c r="B14" s="72" t="s">
        <v>81</v>
      </c>
      <c r="C14" s="72"/>
      <c r="D14" s="72"/>
      <c r="E14" s="72"/>
      <c r="F14" s="72"/>
      <c r="G14" s="72"/>
      <c r="H14" s="72"/>
      <c r="I14" s="73" t="n">
        <f aca="false">'C. REFERENCIAS'!E16</f>
        <v>7</v>
      </c>
      <c r="J14" s="82"/>
      <c r="K14" s="82"/>
      <c r="L14" s="82"/>
      <c r="M14" s="83"/>
      <c r="O14" s="70" t="n">
        <f aca="false">I13</f>
        <v>20</v>
      </c>
      <c r="P14" s="75" t="n">
        <f aca="false">P11</f>
        <v>60</v>
      </c>
      <c r="Q14" s="70" t="n">
        <f aca="false">I14</f>
        <v>7</v>
      </c>
      <c r="R14" s="70" t="n">
        <f aca="false">LOOKUP(Q14,{1;2;3;4;5;6;7;8;9;10},{0;0.135;0.248;0.474;0.668;0.819;0.9191;0.9748;0.9968;1})</f>
        <v>0.9191</v>
      </c>
      <c r="S14" s="70" t="n">
        <f aca="false">(1-(POWER(O14/P14,1.4)))*R14</f>
        <v>0.721679153611469</v>
      </c>
      <c r="T14" s="70" t="n">
        <f aca="false">1-S14</f>
        <v>0.278320846388531</v>
      </c>
      <c r="U14" s="63" t="n">
        <f aca="false">'CAPTURA INMUEBLE'!I20-T14</f>
        <v>-0.0437357511219223</v>
      </c>
    </row>
    <row r="15" s="63" customFormat="true" ht="4.5" hidden="false" customHeight="true" outlineLevel="0" collapsed="false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O15" s="70"/>
      <c r="P15" s="75"/>
      <c r="Q15" s="70"/>
      <c r="R15" s="70"/>
      <c r="S15" s="70"/>
      <c r="T15" s="70"/>
    </row>
    <row r="16" s="63" customFormat="true" ht="29.25" hidden="false" customHeight="true" outlineLevel="0" collapsed="false">
      <c r="A16" s="77" t="n">
        <v>3</v>
      </c>
      <c r="B16" s="66" t="str">
        <f aca="false">CONCATENATE('C. REFERENCIAS'!H5,","," ","COL."," ",'C. REFERENCIAS'!H6,","," ",'C. REFERENCIAS'!H7,","," ",'C. REFERENCIAS'!H8)</f>
        <v>NA, COL. MITRAS PONIENTE, GARCIA, NUEVO LEÓN</v>
      </c>
      <c r="C16" s="66"/>
      <c r="D16" s="66"/>
      <c r="E16" s="66"/>
      <c r="F16" s="78" t="n">
        <f aca="false">'C. REFERENCIAS'!H10</f>
        <v>105</v>
      </c>
      <c r="G16" s="78"/>
      <c r="H16" s="78" t="n">
        <f aca="false">'C. REFERENCIAS'!H11</f>
        <v>188</v>
      </c>
      <c r="I16" s="79" t="n">
        <f aca="false">'C. REFERENCIAS'!H13</f>
        <v>15</v>
      </c>
      <c r="J16" s="84" t="n">
        <f aca="false">'C. REFERENCIAS'!H3</f>
        <v>2450000</v>
      </c>
      <c r="K16" s="84"/>
      <c r="L16" s="84"/>
      <c r="M16" s="84"/>
      <c r="P16" s="70"/>
      <c r="S16" s="70"/>
      <c r="T16" s="70"/>
    </row>
    <row r="17" s="63" customFormat="true" ht="12.75" hidden="false" customHeight="true" outlineLevel="0" collapsed="false">
      <c r="A17" s="77"/>
      <c r="B17" s="72" t="s">
        <v>81</v>
      </c>
      <c r="C17" s="72"/>
      <c r="D17" s="72"/>
      <c r="E17" s="72"/>
      <c r="F17" s="72"/>
      <c r="G17" s="72"/>
      <c r="H17" s="72"/>
      <c r="I17" s="73" t="n">
        <f aca="false">'C. REFERENCIAS'!H16</f>
        <v>8</v>
      </c>
      <c r="J17" s="82"/>
      <c r="K17" s="82"/>
      <c r="L17" s="82"/>
      <c r="M17" s="83"/>
      <c r="O17" s="70" t="n">
        <f aca="false">I16</f>
        <v>15</v>
      </c>
      <c r="P17" s="75" t="n">
        <f aca="false">P11</f>
        <v>60</v>
      </c>
      <c r="Q17" s="70" t="n">
        <f aca="false">I17</f>
        <v>8</v>
      </c>
      <c r="R17" s="70" t="n">
        <f aca="false">LOOKUP(Q17,{1;2;3;4;5;6;7;8;9;10},{0;0.135;0.248;0.474;0.668;0.819;0.9191;0.9748;0.9968;1})</f>
        <v>0.9748</v>
      </c>
      <c r="S17" s="70" t="n">
        <f aca="false">(1-(POWER(O17/P17,1.4)))*R17</f>
        <v>0.834831105443611</v>
      </c>
      <c r="T17" s="70" t="n">
        <f aca="false">1-S17</f>
        <v>0.165168894556389</v>
      </c>
      <c r="U17" s="63" t="n">
        <f aca="false">'CAPTURA INMUEBLE'!I20-'ANALISIS CON CONSTRUCCIÓN'!T17</f>
        <v>0.0694162007102204</v>
      </c>
    </row>
    <row r="18" s="63" customFormat="true" ht="3.75" hidden="false" customHeight="true" outlineLevel="0" collapsed="false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O18" s="70"/>
      <c r="P18" s="75"/>
      <c r="Q18" s="70"/>
      <c r="R18" s="70"/>
      <c r="S18" s="70"/>
      <c r="T18" s="70"/>
    </row>
    <row r="19" s="63" customFormat="true" ht="6.75" hidden="false" customHeight="true" outlineLevel="0" collapsed="false">
      <c r="A19" s="81"/>
      <c r="B19" s="85"/>
      <c r="C19" s="85"/>
      <c r="D19" s="86"/>
      <c r="E19" s="86"/>
      <c r="F19" s="85"/>
      <c r="G19" s="20"/>
      <c r="H19" s="85"/>
      <c r="I19" s="20"/>
      <c r="J19" s="20"/>
      <c r="K19" s="20"/>
      <c r="L19" s="87"/>
      <c r="M19" s="87"/>
    </row>
    <row r="20" s="70" customFormat="true" ht="16.5" hidden="false" customHeight="true" outlineLevel="0" collapsed="false">
      <c r="A20" s="88" t="s">
        <v>82</v>
      </c>
      <c r="B20" s="89" t="s">
        <v>83</v>
      </c>
      <c r="C20" s="88" t="s">
        <v>84</v>
      </c>
      <c r="D20" s="89" t="s">
        <v>85</v>
      </c>
      <c r="E20" s="90" t="s">
        <v>86</v>
      </c>
      <c r="F20" s="90"/>
      <c r="G20" s="90"/>
      <c r="H20" s="90"/>
      <c r="I20" s="90"/>
      <c r="J20" s="90"/>
      <c r="K20" s="90"/>
      <c r="L20" s="88" t="s">
        <v>87</v>
      </c>
      <c r="M20" s="88" t="s">
        <v>88</v>
      </c>
    </row>
    <row r="21" s="70" customFormat="true" ht="15.75" hidden="false" customHeight="true" outlineLevel="0" collapsed="false">
      <c r="A21" s="91"/>
      <c r="B21" s="91"/>
      <c r="C21" s="91" t="s">
        <v>14</v>
      </c>
      <c r="D21" s="91"/>
      <c r="E21" s="88" t="s">
        <v>89</v>
      </c>
      <c r="F21" s="88" t="s">
        <v>90</v>
      </c>
      <c r="G21" s="88" t="s">
        <v>91</v>
      </c>
      <c r="H21" s="88" t="s">
        <v>92</v>
      </c>
      <c r="I21" s="92" t="s">
        <v>93</v>
      </c>
      <c r="J21" s="92"/>
      <c r="K21" s="88" t="s">
        <v>94</v>
      </c>
      <c r="L21" s="93"/>
      <c r="M21" s="91" t="s">
        <v>95</v>
      </c>
      <c r="W21" s="94" t="s">
        <v>69</v>
      </c>
      <c r="Z21" s="94"/>
    </row>
    <row r="22" s="63" customFormat="true" ht="15" hidden="false" customHeight="true" outlineLevel="0" collapsed="false">
      <c r="A22" s="77" t="n">
        <v>1</v>
      </c>
      <c r="B22" s="95" t="n">
        <f aca="false">'C. REFERENCIAS'!B3</f>
        <v>950000</v>
      </c>
      <c r="C22" s="96" t="n">
        <f aca="false">H10</f>
        <v>75</v>
      </c>
      <c r="D22" s="97" t="n">
        <f aca="false">+B22/C22</f>
        <v>12666.6666666667</v>
      </c>
      <c r="E22" s="98" t="n">
        <v>1</v>
      </c>
      <c r="F22" s="99" t="n">
        <v>1</v>
      </c>
      <c r="G22" s="100" t="n">
        <f aca="false">((H10/F10)/(E31/C31))^(1/3)</f>
        <v>0.7642767718322</v>
      </c>
      <c r="H22" s="100" t="n">
        <f aca="false">1-U11</f>
        <v>1.04373575112192</v>
      </c>
      <c r="I22" s="98" t="n">
        <v>1</v>
      </c>
      <c r="J22" s="98"/>
      <c r="K22" s="99" t="n">
        <v>1.05</v>
      </c>
      <c r="L22" s="100" t="n">
        <f aca="false">E22*F22*G22*H22*I22*K22</f>
        <v>0.837588140038985</v>
      </c>
      <c r="M22" s="97" t="n">
        <f aca="false">+D22*L22</f>
        <v>10609.4497738271</v>
      </c>
      <c r="W22" s="101" t="s">
        <v>67</v>
      </c>
      <c r="Z22" s="101"/>
    </row>
    <row r="23" s="63" customFormat="true" ht="15" hidden="false" customHeight="true" outlineLevel="0" collapsed="false">
      <c r="A23" s="77" t="n">
        <v>2</v>
      </c>
      <c r="B23" s="95" t="n">
        <f aca="false">'C. REFERENCIAS'!E3</f>
        <v>730000</v>
      </c>
      <c r="C23" s="96" t="n">
        <f aca="false">H13</f>
        <v>50</v>
      </c>
      <c r="D23" s="97" t="n">
        <f aca="false">+B23/C23</f>
        <v>14600</v>
      </c>
      <c r="E23" s="98" t="n">
        <v>1</v>
      </c>
      <c r="F23" s="99" t="n">
        <v>1</v>
      </c>
      <c r="G23" s="100" t="n">
        <f aca="false">((H13/F13)/(E31/C31))^(1/3)</f>
        <v>0.651194163262642</v>
      </c>
      <c r="H23" s="100" t="n">
        <f aca="false">1-U14</f>
        <v>1.04373575112192</v>
      </c>
      <c r="I23" s="98" t="n">
        <v>1</v>
      </c>
      <c r="J23" s="98"/>
      <c r="K23" s="99" t="n">
        <v>1.05</v>
      </c>
      <c r="L23" s="100" t="n">
        <f aca="false">E23*F23*G23*H23*I23*K23</f>
        <v>0.713658360575102</v>
      </c>
      <c r="M23" s="97" t="n">
        <f aca="false">+D23*L23</f>
        <v>10419.4120643965</v>
      </c>
      <c r="W23" s="101" t="s">
        <v>65</v>
      </c>
      <c r="Z23" s="101"/>
    </row>
    <row r="24" s="63" customFormat="true" ht="15" hidden="false" customHeight="true" outlineLevel="0" collapsed="false">
      <c r="A24" s="77" t="n">
        <v>3</v>
      </c>
      <c r="B24" s="95" t="n">
        <f aca="false">'C. REFERENCIAS'!H3</f>
        <v>2450000</v>
      </c>
      <c r="C24" s="96" t="n">
        <f aca="false">H16</f>
        <v>188</v>
      </c>
      <c r="D24" s="97" t="n">
        <f aca="false">+B24/C24</f>
        <v>13031.914893617</v>
      </c>
      <c r="E24" s="98" t="n">
        <v>1</v>
      </c>
      <c r="F24" s="98" t="n">
        <v>1.05</v>
      </c>
      <c r="G24" s="100" t="n">
        <f aca="false">((H16/F16)/(E31/C31))^(1/3)</f>
        <v>0.98620513455708</v>
      </c>
      <c r="H24" s="100" t="n">
        <f aca="false">1-U17</f>
        <v>0.93058379928978</v>
      </c>
      <c r="I24" s="98" t="n">
        <v>1</v>
      </c>
      <c r="J24" s="98"/>
      <c r="K24" s="98" t="n">
        <v>1</v>
      </c>
      <c r="L24" s="100" t="n">
        <f aca="false">E24*F24*G24*H24*I24*K24</f>
        <v>0.963633847044977</v>
      </c>
      <c r="M24" s="97" t="n">
        <f aca="false">+D24*L24</f>
        <v>12557.9942832989</v>
      </c>
      <c r="W24" s="101" t="s">
        <v>63</v>
      </c>
      <c r="Z24" s="101"/>
    </row>
    <row r="25" s="63" customFormat="true" ht="5.25" hidden="false" customHeight="true" outlineLevel="0" collapsed="false">
      <c r="A25" s="102"/>
      <c r="B25" s="103"/>
      <c r="C25" s="104"/>
      <c r="D25" s="105"/>
      <c r="E25" s="106"/>
      <c r="F25" s="106"/>
      <c r="G25" s="106"/>
      <c r="H25" s="106"/>
      <c r="I25" s="106"/>
      <c r="K25" s="106"/>
      <c r="L25" s="106"/>
      <c r="M25" s="105"/>
      <c r="W25" s="101" t="s">
        <v>96</v>
      </c>
      <c r="Z25" s="101"/>
    </row>
    <row r="26" s="63" customFormat="true" ht="12.75" hidden="false" customHeight="false" outlineLevel="0" collapsed="false">
      <c r="D26" s="107"/>
      <c r="E26" s="108"/>
      <c r="F26" s="20"/>
      <c r="H26" s="20"/>
      <c r="J26" s="81"/>
      <c r="K26" s="109" t="s">
        <v>97</v>
      </c>
      <c r="L26" s="109" t="s">
        <v>98</v>
      </c>
      <c r="M26" s="110" t="n">
        <f aca="false">AVERAGE(M22:M24)</f>
        <v>11195.6187071742</v>
      </c>
      <c r="W26" s="101" t="s">
        <v>57</v>
      </c>
      <c r="Z26" s="101"/>
    </row>
    <row r="27" s="63" customFormat="true" ht="12.75" hidden="false" customHeight="false" outlineLevel="0" collapsed="false">
      <c r="A27" s="111"/>
      <c r="B27" s="111"/>
      <c r="C27" s="112"/>
      <c r="D27" s="107"/>
      <c r="E27" s="108"/>
      <c r="F27" s="20"/>
      <c r="H27" s="20"/>
      <c r="J27" s="81"/>
      <c r="K27" s="109" t="s">
        <v>99</v>
      </c>
      <c r="L27" s="109"/>
      <c r="M27" s="113" t="n">
        <f aca="false">ROUND(M26,-1)</f>
        <v>11200</v>
      </c>
      <c r="N27" s="114"/>
      <c r="W27" s="101" t="s">
        <v>55</v>
      </c>
      <c r="Z27" s="101"/>
    </row>
    <row r="28" s="63" customFormat="true" ht="9" hidden="false" customHeight="true" outlineLevel="0" collapsed="false">
      <c r="A28" s="111"/>
      <c r="B28" s="112"/>
      <c r="C28" s="115"/>
      <c r="D28" s="107"/>
      <c r="E28" s="108"/>
      <c r="F28" s="20"/>
      <c r="H28" s="20"/>
      <c r="J28" s="81"/>
      <c r="K28" s="109"/>
      <c r="L28" s="109"/>
      <c r="M28" s="116"/>
      <c r="N28" s="114"/>
      <c r="W28" s="101" t="s">
        <v>53</v>
      </c>
      <c r="Z28" s="101"/>
    </row>
    <row r="29" customFormat="false" ht="12.75" hidden="false" customHeight="false" outlineLevel="0" collapsed="false">
      <c r="A29" s="111"/>
      <c r="B29" s="117"/>
      <c r="C29" s="118" t="s">
        <v>100</v>
      </c>
      <c r="D29" s="118"/>
      <c r="E29" s="118" t="s">
        <v>101</v>
      </c>
      <c r="F29" s="118"/>
      <c r="G29" s="118"/>
      <c r="H29" s="119" t="s">
        <v>102</v>
      </c>
      <c r="I29" s="118" t="s">
        <v>103</v>
      </c>
      <c r="J29" s="118"/>
      <c r="K29" s="118" t="s">
        <v>104</v>
      </c>
      <c r="L29" s="118"/>
      <c r="M29" s="118"/>
      <c r="W29" s="101" t="s">
        <v>51</v>
      </c>
      <c r="Z29" s="120"/>
    </row>
    <row r="30" customFormat="false" ht="12.75" hidden="false" customHeight="false" outlineLevel="0" collapsed="false">
      <c r="A30" s="111"/>
      <c r="B30" s="121" t="s">
        <v>105</v>
      </c>
      <c r="C30" s="121" t="s">
        <v>106</v>
      </c>
      <c r="D30" s="121"/>
      <c r="E30" s="121" t="s">
        <v>107</v>
      </c>
      <c r="F30" s="121"/>
      <c r="G30" s="121"/>
      <c r="H30" s="122" t="s">
        <v>108</v>
      </c>
      <c r="I30" s="123" t="s">
        <v>109</v>
      </c>
      <c r="J30" s="124"/>
      <c r="K30" s="121" t="s">
        <v>110</v>
      </c>
      <c r="L30" s="121"/>
      <c r="M30" s="121"/>
      <c r="Z30" s="120"/>
    </row>
    <row r="31" customFormat="false" ht="12.75" hidden="false" customHeight="false" outlineLevel="0" collapsed="false">
      <c r="A31" s="111"/>
      <c r="B31" s="125" t="s">
        <v>111</v>
      </c>
      <c r="C31" s="126" t="n">
        <f aca="false">'CAPTURA INMUEBLE'!B16</f>
        <v>90</v>
      </c>
      <c r="D31" s="126"/>
      <c r="E31" s="126" t="n">
        <f aca="false">'CAPTURA INMUEBLE'!B14</f>
        <v>168</v>
      </c>
      <c r="F31" s="126"/>
      <c r="G31" s="126"/>
      <c r="H31" s="127" t="n">
        <f aca="false">'CAPTURA INMUEBLE'!B18</f>
        <v>20</v>
      </c>
      <c r="I31" s="128" t="n">
        <f aca="false">$M$27</f>
        <v>11200</v>
      </c>
      <c r="J31" s="128"/>
      <c r="K31" s="129" t="n">
        <f aca="false">I31*E31</f>
        <v>1881600</v>
      </c>
      <c r="L31" s="129"/>
      <c r="M31" s="129"/>
      <c r="O31" s="130" t="s">
        <v>112</v>
      </c>
      <c r="P31" s="130"/>
    </row>
    <row r="32" customFormat="false" ht="12.75" hidden="false" customHeight="false" outlineLevel="0" collapsed="false">
      <c r="A32" s="111"/>
      <c r="B32" s="131" t="s">
        <v>113</v>
      </c>
      <c r="C32" s="132"/>
      <c r="D32" s="132"/>
      <c r="E32" s="133"/>
      <c r="F32" s="134"/>
      <c r="G32" s="134"/>
      <c r="H32" s="135"/>
      <c r="I32" s="136"/>
      <c r="J32" s="136"/>
      <c r="K32" s="136"/>
      <c r="L32" s="137"/>
      <c r="M32" s="137"/>
      <c r="O32" s="138" t="e">
        <f aca="false">(K33*P32)/#REF!</f>
        <v>#REF!</v>
      </c>
      <c r="P32" s="1" t="n">
        <v>1</v>
      </c>
    </row>
    <row r="33" customFormat="false" ht="12.75" hidden="false" customHeight="false" outlineLevel="0" collapsed="false">
      <c r="A33" s="139"/>
      <c r="B33" s="140"/>
      <c r="C33" s="141"/>
      <c r="D33" s="142"/>
      <c r="E33" s="137"/>
      <c r="F33" s="143"/>
      <c r="G33" s="143"/>
      <c r="H33" s="143"/>
      <c r="I33" s="143"/>
      <c r="J33" s="144" t="s">
        <v>114</v>
      </c>
      <c r="K33" s="145" t="n">
        <f aca="false">ROUNDUP(K31,-3)</f>
        <v>1882000</v>
      </c>
      <c r="L33" s="145"/>
      <c r="M33" s="145"/>
      <c r="O33" s="146"/>
      <c r="P33" s="147"/>
    </row>
    <row r="34" customFormat="false" ht="12.7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customFormat="false" ht="17.25" hidden="false" customHeight="true" outlineLevel="0" collapsed="false">
      <c r="A35" s="20"/>
      <c r="B35" s="148" t="s">
        <v>115</v>
      </c>
      <c r="C35" s="148"/>
      <c r="D35" s="148"/>
      <c r="E35" s="149" t="s">
        <v>116</v>
      </c>
      <c r="F35" s="149"/>
      <c r="G35" s="149" t="s">
        <v>117</v>
      </c>
      <c r="H35" s="149"/>
      <c r="I35" s="150" t="s">
        <v>118</v>
      </c>
      <c r="J35" s="150"/>
      <c r="K35" s="150"/>
      <c r="L35" s="20"/>
      <c r="M35" s="20"/>
    </row>
    <row r="36" customFormat="false" ht="12.75" hidden="false" customHeight="false" outlineLevel="0" collapsed="false">
      <c r="A36" s="20"/>
      <c r="B36" s="151" t="n">
        <f aca="false">('CAPTURA INMUEBLE'!B22*'CAPTURA INMUEBLE'!B14)*(100%-('CAPTURA INMUEBLE'!I20))</f>
        <v>1735961.00393533</v>
      </c>
      <c r="C36" s="151"/>
      <c r="D36" s="151"/>
      <c r="E36" s="151" t="n">
        <f aca="false">'CAPTURA INMUEBLE'!B21</f>
        <v>100000</v>
      </c>
      <c r="F36" s="151"/>
      <c r="G36" s="151" t="n">
        <f aca="false">K33-B36-E36</f>
        <v>46038.9960646695</v>
      </c>
      <c r="H36" s="151"/>
      <c r="I36" s="152" t="n">
        <f aca="false">G36/C31</f>
        <v>511.544400718549</v>
      </c>
      <c r="J36" s="152"/>
      <c r="K36" s="152"/>
      <c r="L36" s="20"/>
      <c r="M36" s="20"/>
    </row>
    <row r="37" customFormat="false" ht="12.75" hidden="false" customHeight="false" outlineLevel="0" collapsed="false">
      <c r="A37" s="20"/>
      <c r="B37" s="153"/>
      <c r="C37" s="153"/>
      <c r="D37" s="153"/>
      <c r="E37" s="153"/>
      <c r="F37" s="153"/>
      <c r="G37" s="153"/>
      <c r="H37" s="154"/>
      <c r="I37" s="153"/>
      <c r="J37" s="154"/>
      <c r="K37" s="20"/>
      <c r="L37" s="20"/>
      <c r="M37" s="20"/>
    </row>
    <row r="38" customFormat="false" ht="12.75" hidden="false" customHeight="false" outlineLevel="0" collapsed="false">
      <c r="A38" s="155" t="s">
        <v>119</v>
      </c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</row>
    <row r="39" customFormat="false" ht="12.7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 customFormat="false" ht="12.75" hidden="false" customHeight="false" outlineLevel="0" collapsed="false">
      <c r="A40" s="20"/>
      <c r="B40" s="20" t="s">
        <v>120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customFormat="false" ht="12.75" hidden="false" customHeight="false" outlineLevel="0" collapsed="false">
      <c r="A41" s="20"/>
      <c r="B41" s="20" t="s">
        <v>121</v>
      </c>
      <c r="C41" s="156" t="n">
        <f aca="false">M27*1.1</f>
        <v>12320</v>
      </c>
      <c r="D41" s="156"/>
      <c r="E41" s="157" t="n">
        <f aca="false">ROUNDUP(E31*C41,-3)</f>
        <v>2070000</v>
      </c>
      <c r="F41" s="157"/>
      <c r="G41" s="157"/>
      <c r="H41" s="20" t="s">
        <v>122</v>
      </c>
      <c r="I41" s="20"/>
      <c r="J41" s="20"/>
      <c r="K41" s="20"/>
      <c r="L41" s="20"/>
      <c r="M41" s="20"/>
    </row>
    <row r="42" customFormat="false" ht="12.75" hidden="false" customHeight="false" outlineLevel="0" collapsed="false">
      <c r="A42" s="20"/>
      <c r="B42" s="20" t="s">
        <v>123</v>
      </c>
      <c r="C42" s="156" t="n">
        <f aca="false">M27*1</f>
        <v>11200</v>
      </c>
      <c r="D42" s="156"/>
      <c r="E42" s="158" t="n">
        <f aca="false">ROUNDUP(E31*C42,-3)</f>
        <v>1882000</v>
      </c>
      <c r="F42" s="158"/>
      <c r="G42" s="158"/>
      <c r="H42" s="20" t="s">
        <v>124</v>
      </c>
      <c r="I42" s="20"/>
      <c r="J42" s="20"/>
      <c r="K42" s="20"/>
      <c r="L42" s="20"/>
      <c r="M42" s="20"/>
    </row>
    <row r="43" customFormat="false" ht="12.75" hidden="false" customHeight="false" outlineLevel="0" collapsed="false">
      <c r="A43" s="20"/>
      <c r="B43" s="20" t="s">
        <v>125</v>
      </c>
      <c r="C43" s="156" t="n">
        <f aca="false">M27*0.9</f>
        <v>10080</v>
      </c>
      <c r="D43" s="156"/>
      <c r="E43" s="157" t="n">
        <f aca="false">ROUNDUP(E31*C43,-3)</f>
        <v>1694000</v>
      </c>
      <c r="F43" s="157"/>
      <c r="G43" s="157"/>
      <c r="H43" s="63" t="s">
        <v>126</v>
      </c>
      <c r="I43" s="20"/>
      <c r="J43" s="20"/>
      <c r="K43" s="20"/>
      <c r="L43" s="20"/>
      <c r="M43" s="20"/>
    </row>
    <row r="44" customFormat="false" ht="12.7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customFormat="false" ht="12.75" hidden="false" customHeight="false" outlineLevel="0" collapsed="false">
      <c r="A45" s="20"/>
      <c r="B45" s="143" t="s">
        <v>127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customFormat="false" ht="12.75" hidden="false" customHeight="false" outlineLevel="0" collapsed="false">
      <c r="A46" s="20"/>
      <c r="B46" s="143" t="s">
        <v>128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customFormat="false" ht="12.75" hidden="false" customHeight="false" outlineLevel="0" collapsed="false">
      <c r="A47" s="20"/>
      <c r="B47" s="143" t="s">
        <v>129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customFormat="false" ht="12.7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customFormat="false" ht="12.75" hidden="false" customHeight="false" outlineLevel="0" collapsed="false">
      <c r="A49" s="159" t="s">
        <v>130</v>
      </c>
      <c r="B49" s="159"/>
      <c r="C49" s="160" t="str">
        <f aca="false">'CAPTURA INMUEBLE'!B24</f>
        <v>ANGELA GALARZA</v>
      </c>
      <c r="D49" s="160"/>
      <c r="E49" s="160"/>
      <c r="F49" s="160"/>
      <c r="G49" s="161"/>
      <c r="H49" s="161"/>
      <c r="I49" s="161"/>
      <c r="J49" s="161"/>
      <c r="K49" s="161"/>
      <c r="L49" s="161"/>
      <c r="M49" s="161"/>
    </row>
    <row r="50" customFormat="false" ht="15" hidden="false" customHeight="true" outlineLevel="0" collapsed="false">
      <c r="A50" s="159" t="s">
        <v>131</v>
      </c>
      <c r="B50" s="159"/>
      <c r="C50" s="162" t="str">
        <f aca="false">'CAPTURA INMUEBLE'!B25</f>
        <v>8131259988</v>
      </c>
      <c r="D50" s="162"/>
      <c r="E50" s="162"/>
      <c r="F50" s="162"/>
      <c r="G50" s="161"/>
      <c r="H50" s="161"/>
      <c r="I50" s="161"/>
      <c r="J50" s="161"/>
      <c r="K50" s="161"/>
      <c r="L50" s="161"/>
      <c r="M50" s="161"/>
    </row>
    <row r="51" customFormat="false" ht="12.75" hidden="false" customHeight="false" outlineLevel="0" collapsed="false">
      <c r="A51" s="159" t="s">
        <v>132</v>
      </c>
      <c r="B51" s="159"/>
      <c r="C51" s="163" t="str">
        <f aca="false">'CAPTURA INMUEBLE'!B26</f>
        <v>angie.galarzah@gmail.com</v>
      </c>
      <c r="D51" s="163"/>
      <c r="E51" s="163"/>
      <c r="F51" s="163"/>
      <c r="G51" s="161"/>
      <c r="H51" s="161"/>
      <c r="I51" s="161"/>
      <c r="J51" s="161"/>
      <c r="K51" s="161"/>
      <c r="L51" s="161"/>
      <c r="M51" s="161"/>
    </row>
    <row r="52" customFormat="false" ht="12.7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customFormat="false" ht="12.7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customFormat="false" ht="12.7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customFormat="false" ht="12.7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customFormat="false" ht="12.7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customFormat="false" ht="12.7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customFormat="false" ht="12.7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customFormat="false" ht="12.7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customFormat="false" ht="12.7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customFormat="false" ht="12.7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customFormat="false" ht="12.7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customFormat="false" ht="12.7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customFormat="false" ht="12.7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customFormat="false" ht="12.7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customFormat="false" ht="12.7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customFormat="false" ht="12.7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customFormat="false" ht="12.7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 customFormat="false" ht="12.7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customFormat="false" ht="12.7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customFormat="false" ht="12.7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customFormat="false" ht="12.7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customFormat="false" ht="12.7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customFormat="false" ht="12.7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customFormat="false" ht="12.7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customFormat="false" ht="12.7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customFormat="false" ht="12.7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customFormat="false" ht="12.7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customFormat="false" ht="12.7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customFormat="false" ht="12.7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  <row r="81" customFormat="false" ht="12.7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</row>
    <row r="82" customFormat="false" ht="12.7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customFormat="false" ht="12.7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</row>
    <row r="84" customFormat="false" ht="12.7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customFormat="false" ht="12.7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customFormat="false" ht="12.7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 customFormat="false" ht="12.7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</row>
    <row r="88" customFormat="false" ht="12.7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</row>
    <row r="89" customFormat="false" ht="12.7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 customFormat="false" ht="12.7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</row>
    <row r="91" customFormat="false" ht="12.7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</row>
    <row r="92" customFormat="false" ht="12.7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</row>
    <row r="93" customFormat="false" ht="12.7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 customFormat="false" ht="12.7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customFormat="false" ht="12.7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</row>
    <row r="96" customFormat="false" ht="12.7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</row>
    <row r="97" customFormat="false" ht="12.7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</row>
    <row r="98" customFormat="false" ht="12.7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</row>
    <row r="99" customFormat="false" ht="12.7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 customFormat="false" ht="12.7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</row>
    <row r="101" customFormat="false" ht="12.7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</row>
    <row r="102" customFormat="false" ht="12.7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</row>
    <row r="103" customFormat="false" ht="12.7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</row>
    <row r="104" customFormat="false" ht="12.7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</row>
    <row r="105" customFormat="false" ht="12.7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</row>
    <row r="106" customFormat="false" ht="12.7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  <row r="107" customFormat="false" ht="12.7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</row>
    <row r="108" customFormat="false" ht="12.7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</row>
    <row r="109" customFormat="false" ht="12.7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</row>
    <row r="110" customFormat="false" ht="12.7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</row>
    <row r="111" customFormat="false" ht="12.7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</row>
    <row r="112" customFormat="false" ht="12.7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</row>
    <row r="113" customFormat="false" ht="12.7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</row>
    <row r="114" customFormat="false" ht="12.7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</row>
    <row r="115" customFormat="false" ht="12.7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</row>
    <row r="116" customFormat="false" ht="12.7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</row>
    <row r="117" customFormat="false" ht="12.7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</row>
    <row r="118" customFormat="false" ht="12.7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customFormat="false" ht="12.7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</row>
    <row r="120" customFormat="false" ht="12.7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</row>
    <row r="121" customFormat="false" ht="12.7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</row>
    <row r="122" customFormat="false" ht="12.7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</row>
    <row r="123" customFormat="false" ht="12.7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</row>
    <row r="124" customFormat="false" ht="12.7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</row>
    <row r="125" customFormat="false" ht="12.7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</row>
    <row r="126" customFormat="false" ht="12.7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</row>
    <row r="127" customFormat="false" ht="12.7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</row>
    <row r="128" customFormat="false" ht="12.7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</row>
    <row r="129" customFormat="false" ht="12.7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</row>
    <row r="130" customFormat="false" ht="12.7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</row>
    <row r="131" customFormat="false" ht="12.7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</row>
    <row r="132" customFormat="false" ht="12.7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</row>
    <row r="133" customFormat="false" ht="12.7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</row>
    <row r="134" customFormat="false" ht="12.7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</row>
    <row r="135" customFormat="false" ht="12.7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</row>
    <row r="136" customFormat="false" ht="12.7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</row>
    <row r="137" customFormat="false" ht="12.7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</row>
    <row r="138" customFormat="false" ht="12.7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</row>
    <row r="139" customFormat="false" ht="12.7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</row>
    <row r="140" customFormat="false" ht="12.7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</row>
    <row r="141" customFormat="false" ht="12.7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</row>
    <row r="142" customFormat="false" ht="12.7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</row>
    <row r="143" customFormat="false" ht="12.7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</row>
    <row r="144" customFormat="false" ht="12.7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</row>
    <row r="145" customFormat="false" ht="12.7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</row>
    <row r="146" customFormat="false" ht="12.7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</row>
    <row r="147" customFormat="false" ht="12.7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</row>
    <row r="148" customFormat="false" ht="12.7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</row>
    <row r="149" customFormat="false" ht="12.7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</row>
    <row r="150" customFormat="false" ht="12.7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</row>
    <row r="151" customFormat="false" ht="12.7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</row>
    <row r="152" customFormat="false" ht="12.7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</row>
    <row r="153" customFormat="false" ht="12.7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</row>
    <row r="154" customFormat="false" ht="12.7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</row>
    <row r="155" customFormat="false" ht="12.7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</row>
    <row r="156" customFormat="false" ht="12.7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</row>
    <row r="157" customFormat="false" ht="12.7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</row>
    <row r="158" customFormat="false" ht="12.7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</row>
    <row r="159" customFormat="false" ht="12.7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</row>
    <row r="160" customFormat="false" ht="12.7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</row>
    <row r="161" customFormat="false" ht="12.7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</row>
    <row r="162" customFormat="false" ht="12.7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</row>
    <row r="163" customFormat="false" ht="12.7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</row>
    <row r="164" customFormat="false" ht="12.7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</row>
    <row r="165" customFormat="false" ht="12.7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</row>
    <row r="166" customFormat="false" ht="12.7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</row>
    <row r="167" customFormat="false" ht="12.7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</row>
    <row r="168" customFormat="false" ht="12.7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</row>
    <row r="169" customFormat="false" ht="12.7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</row>
    <row r="170" customFormat="false" ht="12.7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</row>
    <row r="171" customFormat="false" ht="12.7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</row>
    <row r="172" customFormat="false" ht="12.7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</row>
    <row r="173" customFormat="false" ht="12.7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</row>
    <row r="174" customFormat="false" ht="12.7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</row>
    <row r="175" customFormat="false" ht="12.7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</row>
    <row r="176" customFormat="false" ht="12.7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</row>
    <row r="177" customFormat="false" ht="12.7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</row>
    <row r="178" customFormat="false" ht="12.7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</row>
    <row r="179" customFormat="false" ht="12.7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</row>
    <row r="180" customFormat="false" ht="12.7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</row>
    <row r="181" customFormat="false" ht="12.7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</row>
    <row r="182" customFormat="false" ht="12.7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</row>
    <row r="183" customFormat="false" ht="12.7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</row>
    <row r="184" customFormat="false" ht="12.7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</row>
    <row r="185" customFormat="false" ht="12.7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</row>
    <row r="186" customFormat="false" ht="12.7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</row>
    <row r="187" customFormat="false" ht="12.7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</row>
    <row r="188" customFormat="false" ht="12.7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</row>
    <row r="189" customFormat="false" ht="12.7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</row>
    <row r="190" customFormat="false" ht="12.7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</row>
    <row r="191" customFormat="false" ht="12.7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</row>
    <row r="192" customFormat="false" ht="12.7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</row>
    <row r="193" customFormat="false" ht="12.7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</row>
    <row r="194" customFormat="false" ht="12.7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</row>
    <row r="195" customFormat="false" ht="12.7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</row>
    <row r="196" customFormat="false" ht="12.7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</row>
    <row r="197" customFormat="false" ht="12.7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</row>
    <row r="198" customFormat="false" ht="12.7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</row>
    <row r="199" customFormat="false" ht="12.7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</row>
    <row r="200" customFormat="false" ht="12.7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</row>
    <row r="201" customFormat="false" ht="12.75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</row>
    <row r="202" customFormat="false" ht="12.75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</row>
    <row r="203" customFormat="false" ht="12.75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</row>
    <row r="204" customFormat="false" ht="12.75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</row>
    <row r="205" customFormat="false" ht="12.75" hidden="false" customHeight="fals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</row>
    <row r="206" customFormat="false" ht="12.75" hidden="false" customHeight="fals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</row>
    <row r="207" customFormat="false" ht="12.75" hidden="false" customHeight="fals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</row>
    <row r="208" customFormat="false" ht="12.75" hidden="false" customHeight="fals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</row>
    <row r="209" customFormat="false" ht="12.75" hidden="false" customHeight="fals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</row>
    <row r="210" customFormat="false" ht="12.75" hidden="false" customHeight="fals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</row>
    <row r="211" customFormat="false" ht="12.75" hidden="false" customHeight="fals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</row>
    <row r="212" customFormat="false" ht="12.75" hidden="false" customHeight="fals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</row>
    <row r="213" customFormat="false" ht="12.75" hidden="false" customHeight="fals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</row>
    <row r="214" customFormat="false" ht="12.75" hidden="false" customHeight="fals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</row>
    <row r="215" customFormat="false" ht="12.75" hidden="false" customHeight="fals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</row>
    <row r="216" customFormat="false" ht="12.75" hidden="false" customHeight="fals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</row>
    <row r="217" customFormat="false" ht="12.75" hidden="false" customHeight="fals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</row>
    <row r="218" customFormat="false" ht="12.75" hidden="false" customHeight="fals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</row>
    <row r="219" customFormat="false" ht="12.75" hidden="false" customHeight="fals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</row>
    <row r="220" customFormat="false" ht="12.75" hidden="false" customHeight="fals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</row>
    <row r="221" customFormat="false" ht="12.75" hidden="false" customHeight="fals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</row>
    <row r="222" customFormat="false" ht="12.75" hidden="false" customHeight="fals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</row>
    <row r="223" customFormat="false" ht="12.75" hidden="false" customHeight="fals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</row>
    <row r="224" customFormat="false" ht="12.75" hidden="false" customHeight="fals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</row>
    <row r="225" customFormat="false" ht="12.75" hidden="false" customHeight="fals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</row>
    <row r="226" customFormat="false" ht="12.75" hidden="false" customHeight="fals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</row>
    <row r="227" customFormat="false" ht="12.75" hidden="false" customHeight="fals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</row>
    <row r="228" customFormat="false" ht="12.75" hidden="false" customHeight="fals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</row>
    <row r="229" customFormat="false" ht="12.75" hidden="false" customHeight="fals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</row>
    <row r="230" customFormat="false" ht="12.75" hidden="false" customHeight="fals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</row>
    <row r="231" customFormat="false" ht="12.75" hidden="false" customHeight="fals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</row>
    <row r="232" customFormat="false" ht="12.75" hidden="false" customHeight="fals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</row>
    <row r="233" customFormat="false" ht="12.75" hidden="false" customHeight="fals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</row>
    <row r="234" customFormat="false" ht="12.75" hidden="false" customHeight="fals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</row>
    <row r="235" customFormat="false" ht="12.75" hidden="false" customHeight="fals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</row>
    <row r="236" customFormat="false" ht="12.75" hidden="false" customHeight="fals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</row>
    <row r="237" customFormat="false" ht="12.75" hidden="false" customHeight="fals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</row>
    <row r="238" customFormat="false" ht="12.75" hidden="false" customHeight="fals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</row>
    <row r="239" customFormat="false" ht="12.75" hidden="false" customHeight="fals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</row>
    <row r="240" customFormat="false" ht="12.75" hidden="false" customHeight="fals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</row>
    <row r="241" customFormat="false" ht="12.75" hidden="false" customHeight="fals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</row>
    <row r="242" customFormat="false" ht="12.75" hidden="false" customHeight="fals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</row>
    <row r="243" customFormat="false" ht="12.75" hidden="false" customHeight="fals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</row>
    <row r="244" customFormat="false" ht="12.75" hidden="false" customHeight="fals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</row>
    <row r="245" customFormat="false" ht="12.75" hidden="false" customHeight="fals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</row>
    <row r="246" customFormat="false" ht="12.75" hidden="false" customHeight="fals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</row>
    <row r="247" customFormat="false" ht="12.75" hidden="false" customHeight="fals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</row>
    <row r="248" customFormat="false" ht="12.75" hidden="false" customHeight="fals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</row>
    <row r="249" customFormat="false" ht="12.75" hidden="false" customHeight="fals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</row>
    <row r="250" customFormat="false" ht="12.75" hidden="false" customHeight="fals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</row>
    <row r="251" customFormat="false" ht="12.75" hidden="false" customHeight="fals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</row>
    <row r="252" customFormat="false" ht="12.75" hidden="false" customHeight="fals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</row>
    <row r="253" customFormat="false" ht="12.75" hidden="false" customHeight="fals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</row>
    <row r="254" customFormat="false" ht="12.75" hidden="false" customHeight="fals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</row>
    <row r="255" customFormat="false" ht="12.75" hidden="false" customHeight="fals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</row>
    <row r="256" customFormat="false" ht="12.75" hidden="false" customHeight="fals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</row>
    <row r="257" customFormat="false" ht="12.75" hidden="false" customHeight="fals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</row>
    <row r="258" customFormat="false" ht="12.75" hidden="false" customHeight="fals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</row>
    <row r="259" customFormat="false" ht="12.75" hidden="false" customHeight="fals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</row>
    <row r="260" customFormat="false" ht="12.75" hidden="false" customHeight="fals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</row>
    <row r="261" customFormat="false" ht="12.75" hidden="false" customHeight="fals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</row>
    <row r="262" customFormat="false" ht="12.75" hidden="false" customHeight="fals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</row>
    <row r="263" customFormat="false" ht="12.75" hidden="false" customHeight="fals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</row>
    <row r="264" customFormat="false" ht="12.75" hidden="false" customHeight="fals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</row>
    <row r="265" customFormat="false" ht="12.75" hidden="false" customHeight="fals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</row>
    <row r="266" customFormat="false" ht="12.75" hidden="false" customHeight="fals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</row>
    <row r="267" customFormat="false" ht="12.75" hidden="false" customHeight="fals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</row>
    <row r="268" customFormat="false" ht="12.75" hidden="false" customHeight="fals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</row>
    <row r="269" customFormat="false" ht="12.75" hidden="false" customHeight="fals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</row>
    <row r="270" customFormat="false" ht="12.75" hidden="false" customHeight="fals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</row>
    <row r="271" customFormat="false" ht="12.75" hidden="false" customHeight="fals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customFormat="false" ht="12.75" hidden="false" customHeight="fals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  <row r="273" customFormat="false" ht="12.75" hidden="false" customHeight="fals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</row>
    <row r="274" customFormat="false" ht="12.75" hidden="false" customHeight="fals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</row>
    <row r="275" customFormat="false" ht="12.75" hidden="false" customHeight="fals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</row>
    <row r="276" customFormat="false" ht="12.75" hidden="false" customHeight="fals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</row>
    <row r="277" customFormat="false" ht="12.75" hidden="false" customHeight="fals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</row>
    <row r="278" customFormat="false" ht="12.75" hidden="false" customHeight="fals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</row>
    <row r="279" customFormat="false" ht="12.75" hidden="false" customHeight="fals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</row>
    <row r="280" customFormat="false" ht="12.75" hidden="false" customHeight="fals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</row>
    <row r="281" customFormat="false" ht="12.75" hidden="false" customHeight="fals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</row>
    <row r="282" customFormat="false" ht="12.75" hidden="false" customHeight="fals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</row>
    <row r="283" customFormat="false" ht="12.75" hidden="false" customHeight="fals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</row>
    <row r="284" customFormat="false" ht="12.75" hidden="false" customHeight="fals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</row>
    <row r="285" customFormat="false" ht="12.75" hidden="false" customHeight="fals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</row>
    <row r="286" customFormat="false" ht="12.75" hidden="false" customHeight="fals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</row>
    <row r="287" customFormat="false" ht="12.75" hidden="false" customHeight="fals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</row>
    <row r="288" customFormat="false" ht="12.75" hidden="false" customHeight="fals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</row>
    <row r="289" customFormat="false" ht="12.75" hidden="false" customHeight="fals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</row>
    <row r="290" customFormat="false" ht="12.75" hidden="false" customHeight="fals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</row>
    <row r="291" customFormat="false" ht="12.75" hidden="false" customHeight="fals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</row>
    <row r="292" customFormat="false" ht="12.75" hidden="false" customHeight="fals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</row>
    <row r="293" customFormat="false" ht="12.75" hidden="false" customHeight="fals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</row>
    <row r="294" customFormat="false" ht="12.75" hidden="false" customHeight="fals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</row>
    <row r="295" customFormat="false" ht="12.75" hidden="false" customHeight="fals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</row>
    <row r="296" customFormat="false" ht="12.75" hidden="false" customHeight="fals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</row>
    <row r="297" customFormat="false" ht="12.75" hidden="false" customHeight="fals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</row>
    <row r="298" customFormat="false" ht="12.75" hidden="false" customHeight="fals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</row>
    <row r="299" customFormat="false" ht="12.75" hidden="false" customHeight="fals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</row>
    <row r="300" customFormat="false" ht="12.75" hidden="false" customHeight="fals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</row>
    <row r="301" customFormat="false" ht="12.75" hidden="false" customHeight="fals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</row>
    <row r="302" customFormat="false" ht="12.75" hidden="false" customHeight="fals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</row>
    <row r="303" customFormat="false" ht="12.75" hidden="false" customHeight="fals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</row>
    <row r="304" customFormat="false" ht="12.75" hidden="false" customHeight="fals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</row>
    <row r="305" customFormat="false" ht="12.75" hidden="false" customHeight="fals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</row>
    <row r="306" customFormat="false" ht="12.75" hidden="false" customHeight="fals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</row>
    <row r="307" customFormat="false" ht="12.75" hidden="false" customHeight="fals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</row>
    <row r="308" customFormat="false" ht="12.75" hidden="false" customHeight="fals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</row>
    <row r="309" customFormat="false" ht="12.75" hidden="false" customHeight="fals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</row>
    <row r="310" customFormat="false" ht="12.75" hidden="false" customHeight="fals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</row>
    <row r="311" customFormat="false" ht="12.75" hidden="false" customHeight="fals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</row>
    <row r="312" customFormat="false" ht="12.75" hidden="false" customHeight="fals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</row>
    <row r="313" customFormat="false" ht="12.75" hidden="false" customHeight="fals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</row>
    <row r="314" customFormat="false" ht="12.75" hidden="false" customHeight="fals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</row>
    <row r="315" customFormat="false" ht="12.75" hidden="false" customHeight="fals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</row>
    <row r="316" customFormat="false" ht="12.75" hidden="false" customHeight="fals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</row>
    <row r="317" customFormat="false" ht="12.75" hidden="false" customHeight="fals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</row>
    <row r="318" customFormat="false" ht="12.75" hidden="false" customHeight="fals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</row>
    <row r="319" customFormat="false" ht="12.75" hidden="false" customHeight="fals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</row>
    <row r="320" customFormat="false" ht="12.75" hidden="false" customHeight="fals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</row>
    <row r="321" customFormat="false" ht="12.75" hidden="false" customHeight="fals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</row>
    <row r="322" customFormat="false" ht="12.75" hidden="false" customHeight="fals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</row>
    <row r="323" customFormat="false" ht="12.75" hidden="false" customHeight="fals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</row>
    <row r="324" customFormat="false" ht="12.75" hidden="false" customHeight="fals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</row>
    <row r="325" customFormat="false" ht="12.75" hidden="false" customHeight="fals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</row>
    <row r="326" customFormat="false" ht="12.75" hidden="false" customHeight="fals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</row>
    <row r="327" customFormat="false" ht="12.75" hidden="false" customHeight="fals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</row>
    <row r="328" customFormat="false" ht="12.75" hidden="false" customHeight="fals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</row>
    <row r="329" customFormat="false" ht="12.75" hidden="false" customHeight="fals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</row>
    <row r="330" customFormat="false" ht="12.75" hidden="false" customHeight="fals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</row>
    <row r="331" customFormat="false" ht="12.75" hidden="false" customHeight="fals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</row>
    <row r="332" customFormat="false" ht="12.75" hidden="false" customHeight="fals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</row>
    <row r="333" customFormat="false" ht="12.75" hidden="false" customHeight="fals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</row>
    <row r="334" customFormat="false" ht="12.75" hidden="false" customHeight="fals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</row>
    <row r="335" customFormat="false" ht="12.75" hidden="false" customHeight="fals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</row>
    <row r="336" customFormat="false" ht="12.75" hidden="false" customHeight="fals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</row>
    <row r="337" customFormat="false" ht="12.75" hidden="false" customHeight="fals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</row>
    <row r="338" customFormat="false" ht="12.75" hidden="false" customHeight="fals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</row>
    <row r="339" customFormat="false" ht="12.75" hidden="false" customHeight="fals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</row>
    <row r="340" customFormat="false" ht="12.75" hidden="false" customHeight="fals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</row>
    <row r="341" customFormat="false" ht="12.75" hidden="false" customHeight="fals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</row>
    <row r="342" customFormat="false" ht="12.75" hidden="false" customHeight="fals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</row>
    <row r="343" customFormat="false" ht="12.75" hidden="false" customHeight="fals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</row>
    <row r="344" customFormat="false" ht="12.75" hidden="false" customHeight="fals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</row>
    <row r="345" customFormat="false" ht="12.75" hidden="false" customHeight="fals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</row>
    <row r="346" customFormat="false" ht="12.75" hidden="false" customHeight="fals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</row>
    <row r="347" customFormat="false" ht="12.75" hidden="false" customHeight="fals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</row>
    <row r="348" customFormat="false" ht="12.75" hidden="false" customHeight="fals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</row>
    <row r="349" customFormat="false" ht="12.75" hidden="false" customHeight="fals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</row>
    <row r="350" customFormat="false" ht="12.75" hidden="false" customHeight="fals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</row>
    <row r="351" customFormat="false" ht="12.75" hidden="false" customHeight="fals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</row>
    <row r="352" customFormat="false" ht="12.75" hidden="false" customHeight="fals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</row>
    <row r="353" customFormat="false" ht="12.75" hidden="false" customHeight="fals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</row>
    <row r="354" customFormat="false" ht="12.75" hidden="false" customHeight="fals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</row>
    <row r="355" customFormat="false" ht="12.75" hidden="false" customHeight="fals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</row>
    <row r="356" customFormat="false" ht="12.75" hidden="false" customHeight="fals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</row>
    <row r="357" customFormat="false" ht="12.75" hidden="false" customHeight="fals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</row>
    <row r="358" customFormat="false" ht="12.75" hidden="false" customHeight="fals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</row>
    <row r="359" customFormat="false" ht="12.75" hidden="false" customHeight="fals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</row>
    <row r="360" customFormat="false" ht="12.75" hidden="false" customHeight="fals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</row>
    <row r="361" customFormat="false" ht="12.75" hidden="false" customHeight="fals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</row>
    <row r="362" customFormat="false" ht="12.75" hidden="false" customHeight="fals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</row>
    <row r="363" customFormat="false" ht="12.75" hidden="false" customHeight="fals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</row>
    <row r="364" customFormat="false" ht="12.75" hidden="false" customHeight="fals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</row>
    <row r="365" customFormat="false" ht="12.75" hidden="false" customHeight="fals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</row>
    <row r="366" customFormat="false" ht="12.75" hidden="false" customHeight="fals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</row>
    <row r="367" customFormat="false" ht="12.75" hidden="false" customHeight="fals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</row>
    <row r="368" customFormat="false" ht="12.75" hidden="false" customHeight="fals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</row>
    <row r="369" customFormat="false" ht="12.75" hidden="false" customHeight="fals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</row>
    <row r="370" customFormat="false" ht="12.75" hidden="false" customHeight="fals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</row>
    <row r="371" customFormat="false" ht="12.75" hidden="false" customHeight="fals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</row>
    <row r="372" customFormat="false" ht="12.75" hidden="false" customHeight="fals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</row>
    <row r="373" customFormat="false" ht="12.75" hidden="false" customHeight="fals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</row>
    <row r="374" customFormat="false" ht="12.75" hidden="false" customHeight="fals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</row>
    <row r="375" customFormat="false" ht="12.75" hidden="false" customHeight="fals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</row>
    <row r="376" customFormat="false" ht="12.75" hidden="false" customHeight="fals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</row>
    <row r="377" customFormat="false" ht="12.75" hidden="false" customHeight="fals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</row>
    <row r="378" customFormat="false" ht="12.75" hidden="false" customHeight="fals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</row>
    <row r="379" customFormat="false" ht="12.75" hidden="false" customHeight="fals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</row>
    <row r="380" customFormat="false" ht="12.75" hidden="false" customHeight="fals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</row>
    <row r="381" customFormat="false" ht="12.75" hidden="false" customHeight="fals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</row>
    <row r="382" customFormat="false" ht="12.75" hidden="false" customHeight="fals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</row>
    <row r="383" customFormat="false" ht="12.75" hidden="false" customHeight="fals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</row>
    <row r="384" customFormat="false" ht="12.75" hidden="false" customHeight="fals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</row>
    <row r="385" customFormat="false" ht="12.75" hidden="false" customHeight="fals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</row>
    <row r="386" customFormat="false" ht="12.75" hidden="false" customHeight="fals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</row>
    <row r="387" customFormat="false" ht="12.75" hidden="false" customHeight="fals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</row>
    <row r="388" customFormat="false" ht="12.75" hidden="false" customHeight="fals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</row>
    <row r="389" customFormat="false" ht="12.75" hidden="false" customHeight="fals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</row>
    <row r="390" customFormat="false" ht="12.75" hidden="false" customHeight="fals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</row>
    <row r="391" customFormat="false" ht="12.75" hidden="false" customHeight="fals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</row>
    <row r="392" customFormat="false" ht="12.75" hidden="false" customHeight="fals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</row>
    <row r="393" customFormat="false" ht="12.75" hidden="false" customHeight="fals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</row>
    <row r="394" customFormat="false" ht="12.75" hidden="false" customHeight="fals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</row>
    <row r="395" customFormat="false" ht="12.75" hidden="false" customHeight="fals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</row>
    <row r="396" customFormat="false" ht="12.75" hidden="false" customHeight="fals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</row>
    <row r="397" customFormat="false" ht="12.75" hidden="false" customHeight="fals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</row>
    <row r="398" customFormat="false" ht="12.75" hidden="false" customHeight="fals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</row>
    <row r="399" customFormat="false" ht="12.75" hidden="false" customHeight="fals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</row>
    <row r="400" customFormat="false" ht="12.75" hidden="false" customHeight="fals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</row>
    <row r="401" customFormat="false" ht="12.75" hidden="false" customHeight="fals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</row>
    <row r="402" customFormat="false" ht="12.75" hidden="false" customHeight="fals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</row>
    <row r="403" customFormat="false" ht="12.75" hidden="false" customHeight="fals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</row>
    <row r="404" customFormat="false" ht="12.75" hidden="false" customHeight="fals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</row>
    <row r="405" customFormat="false" ht="12.75" hidden="false" customHeight="fals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</row>
    <row r="406" customFormat="false" ht="12.75" hidden="false" customHeight="fals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</row>
    <row r="407" customFormat="false" ht="12.75" hidden="false" customHeight="fals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</row>
    <row r="408" customFormat="false" ht="12.75" hidden="false" customHeight="fals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</row>
    <row r="409" customFormat="false" ht="12.75" hidden="false" customHeight="fals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</row>
    <row r="410" customFormat="false" ht="12.75" hidden="false" customHeight="fals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</row>
    <row r="411" customFormat="false" ht="12.75" hidden="false" customHeight="fals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</row>
    <row r="412" customFormat="false" ht="12.75" hidden="false" customHeight="fals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</row>
    <row r="413" customFormat="false" ht="12.75" hidden="false" customHeight="fals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</row>
    <row r="414" customFormat="false" ht="12.75" hidden="false" customHeight="fals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</row>
    <row r="415" customFormat="false" ht="12.75" hidden="false" customHeight="fals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</row>
    <row r="416" customFormat="false" ht="12.75" hidden="false" customHeight="fals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</row>
    <row r="417" customFormat="false" ht="12.75" hidden="false" customHeight="fals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</row>
    <row r="418" customFormat="false" ht="12.75" hidden="false" customHeight="fals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</row>
    <row r="419" customFormat="false" ht="12.75" hidden="false" customHeight="fals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</row>
    <row r="420" customFormat="false" ht="12.75" hidden="false" customHeight="fals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</row>
    <row r="421" customFormat="false" ht="12.75" hidden="false" customHeight="fals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</row>
    <row r="422" customFormat="false" ht="12.75" hidden="false" customHeight="fals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</row>
    <row r="423" customFormat="false" ht="12.75" hidden="false" customHeight="fals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</row>
    <row r="424" customFormat="false" ht="12.75" hidden="false" customHeight="fals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</row>
    <row r="425" customFormat="false" ht="12.75" hidden="false" customHeight="fals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</row>
    <row r="426" customFormat="false" ht="12.75" hidden="false" customHeight="fals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</row>
    <row r="427" customFormat="false" ht="12.75" hidden="false" customHeight="fals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</row>
    <row r="428" customFormat="false" ht="12.75" hidden="false" customHeight="fals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</row>
    <row r="429" customFormat="false" ht="12.75" hidden="false" customHeight="fals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</row>
    <row r="430" customFormat="false" ht="12.75" hidden="false" customHeight="fals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</row>
    <row r="431" customFormat="false" ht="12.75" hidden="false" customHeight="fals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</row>
    <row r="432" customFormat="false" ht="12.75" hidden="false" customHeight="fals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</row>
    <row r="433" customFormat="false" ht="12.75" hidden="false" customHeight="fals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</row>
    <row r="434" customFormat="false" ht="12.75" hidden="false" customHeight="fals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</row>
    <row r="435" customFormat="false" ht="12.75" hidden="false" customHeight="fals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</row>
    <row r="436" customFormat="false" ht="12.75" hidden="false" customHeight="fals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</row>
    <row r="437" customFormat="false" ht="12.75" hidden="false" customHeight="fals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</row>
    <row r="438" customFormat="false" ht="12.75" hidden="false" customHeight="fals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</row>
    <row r="439" customFormat="false" ht="12.75" hidden="false" customHeight="fals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</row>
    <row r="440" customFormat="false" ht="12.75" hidden="false" customHeight="fals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</row>
    <row r="441" customFormat="false" ht="12.75" hidden="false" customHeight="fals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</row>
    <row r="442" customFormat="false" ht="12.75" hidden="false" customHeight="fals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</row>
    <row r="443" customFormat="false" ht="12.75" hidden="false" customHeight="fals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</row>
    <row r="444" customFormat="false" ht="12.75" hidden="false" customHeight="fals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</row>
    <row r="445" customFormat="false" ht="12.75" hidden="false" customHeight="fals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</row>
    <row r="446" customFormat="false" ht="12.75" hidden="false" customHeight="fals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</row>
    <row r="447" customFormat="false" ht="12.75" hidden="false" customHeight="fals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</row>
    <row r="448" customFormat="false" ht="12.75" hidden="false" customHeight="fals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</row>
    <row r="449" customFormat="false" ht="12.75" hidden="false" customHeight="fals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</row>
    <row r="450" customFormat="false" ht="12.75" hidden="false" customHeight="fals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</row>
    <row r="451" customFormat="false" ht="12.75" hidden="false" customHeight="fals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</row>
    <row r="452" customFormat="false" ht="12.75" hidden="false" customHeight="fals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</row>
    <row r="453" customFormat="false" ht="12.75" hidden="false" customHeight="fals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</row>
    <row r="454" customFormat="false" ht="12.75" hidden="false" customHeight="fals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</row>
    <row r="455" customFormat="false" ht="12.75" hidden="false" customHeight="fals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</row>
    <row r="456" customFormat="false" ht="12.75" hidden="false" customHeight="fals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</row>
    <row r="457" customFormat="false" ht="12.75" hidden="false" customHeight="fals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</row>
    <row r="458" customFormat="false" ht="12.75" hidden="false" customHeight="fals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</row>
    <row r="459" customFormat="false" ht="12.75" hidden="false" customHeight="fals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</row>
    <row r="460" customFormat="false" ht="12.75" hidden="false" customHeight="fals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</row>
    <row r="461" customFormat="false" ht="12.75" hidden="false" customHeight="fals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</row>
    <row r="462" customFormat="false" ht="12.75" hidden="false" customHeight="fals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</row>
    <row r="463" customFormat="false" ht="12.75" hidden="false" customHeight="fals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</row>
    <row r="464" customFormat="false" ht="12.75" hidden="false" customHeight="fals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</row>
    <row r="465" customFormat="false" ht="12.75" hidden="false" customHeight="fals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</row>
    <row r="466" customFormat="false" ht="12.75" hidden="false" customHeight="fals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</row>
    <row r="467" customFormat="false" ht="12.75" hidden="false" customHeight="fals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</row>
    <row r="468" customFormat="false" ht="12.75" hidden="false" customHeight="fals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</row>
    <row r="469" customFormat="false" ht="12.75" hidden="false" customHeight="fals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</row>
    <row r="470" customFormat="false" ht="12.75" hidden="false" customHeight="fals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</row>
    <row r="471" customFormat="false" ht="12.75" hidden="false" customHeight="fals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</row>
    <row r="472" customFormat="false" ht="12.75" hidden="false" customHeight="fals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</row>
    <row r="473" customFormat="false" ht="12.75" hidden="false" customHeight="fals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</row>
    <row r="474" customFormat="false" ht="12.75" hidden="false" customHeight="fals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</row>
    <row r="475" customFormat="false" ht="12.75" hidden="false" customHeight="fals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</row>
    <row r="476" customFormat="false" ht="12.75" hidden="false" customHeight="fals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</row>
    <row r="477" customFormat="false" ht="12.75" hidden="false" customHeight="fals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</row>
    <row r="478" customFormat="false" ht="12.75" hidden="false" customHeight="fals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</row>
    <row r="479" customFormat="false" ht="12.75" hidden="false" customHeight="fals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</row>
    <row r="480" customFormat="false" ht="12.75" hidden="false" customHeight="fals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</row>
    <row r="481" customFormat="false" ht="12.75" hidden="false" customHeight="fals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</row>
    <row r="482" customFormat="false" ht="12.75" hidden="false" customHeight="fals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</row>
    <row r="483" customFormat="false" ht="12.75" hidden="false" customHeight="fals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</row>
    <row r="484" customFormat="false" ht="12.75" hidden="false" customHeight="fals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</row>
    <row r="485" customFormat="false" ht="12.75" hidden="false" customHeight="fals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</row>
    <row r="486" customFormat="false" ht="12.75" hidden="false" customHeight="fals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</row>
    <row r="487" customFormat="false" ht="12.75" hidden="false" customHeight="fals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</row>
    <row r="488" customFormat="false" ht="12.75" hidden="false" customHeight="fals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</row>
    <row r="489" customFormat="false" ht="12.75" hidden="false" customHeight="fals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</row>
    <row r="490" customFormat="false" ht="12.75" hidden="false" customHeight="fals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</row>
    <row r="491" customFormat="false" ht="12.75" hidden="false" customHeight="fals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</row>
    <row r="492" customFormat="false" ht="12.75" hidden="false" customHeight="fals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</row>
    <row r="493" customFormat="false" ht="12.75" hidden="false" customHeight="fals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</row>
    <row r="494" customFormat="false" ht="12.75" hidden="false" customHeight="fals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</row>
    <row r="495" customFormat="false" ht="12.75" hidden="false" customHeight="fals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</row>
    <row r="496" customFormat="false" ht="12.75" hidden="false" customHeight="fals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</row>
    <row r="497" customFormat="false" ht="12.75" hidden="false" customHeight="fals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</row>
    <row r="498" customFormat="false" ht="12.75" hidden="false" customHeight="fals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</row>
    <row r="499" customFormat="false" ht="12.75" hidden="false" customHeight="fals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</row>
    <row r="500" customFormat="false" ht="12.75" hidden="false" customHeight="fals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</row>
    <row r="501" customFormat="false" ht="12.75" hidden="false" customHeight="fals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</row>
    <row r="502" customFormat="false" ht="12.75" hidden="false" customHeight="fals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</row>
    <row r="503" customFormat="false" ht="12.75" hidden="false" customHeight="fals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</row>
    <row r="504" customFormat="false" ht="12.75" hidden="false" customHeight="fals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</row>
    <row r="505" customFormat="false" ht="12.75" hidden="false" customHeight="fals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</row>
    <row r="506" customFormat="false" ht="12.75" hidden="false" customHeight="fals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</row>
    <row r="507" customFormat="false" ht="12.75" hidden="false" customHeight="fals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</row>
    <row r="508" customFormat="false" ht="12.75" hidden="false" customHeight="fals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</row>
    <row r="509" customFormat="false" ht="12.75" hidden="false" customHeight="fals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</row>
    <row r="510" customFormat="false" ht="12.75" hidden="false" customHeight="fals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</row>
    <row r="511" customFormat="false" ht="12.75" hidden="false" customHeight="fals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</row>
    <row r="512" customFormat="false" ht="12.75" hidden="false" customHeight="fals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</row>
    <row r="513" customFormat="false" ht="12.75" hidden="false" customHeight="fals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</row>
    <row r="514" customFormat="false" ht="12.75" hidden="false" customHeight="fals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</row>
    <row r="515" customFormat="false" ht="12.75" hidden="false" customHeight="fals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</row>
    <row r="516" customFormat="false" ht="12.75" hidden="false" customHeight="fals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</row>
    <row r="517" customFormat="false" ht="12.75" hidden="false" customHeight="fals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</row>
    <row r="518" customFormat="false" ht="12.75" hidden="false" customHeight="fals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</row>
    <row r="519" customFormat="false" ht="12.75" hidden="false" customHeight="fals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</row>
    <row r="520" customFormat="false" ht="12.75" hidden="false" customHeight="fals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</row>
    <row r="521" customFormat="false" ht="12.75" hidden="false" customHeight="fals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</row>
    <row r="522" customFormat="false" ht="12.75" hidden="false" customHeight="fals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</row>
    <row r="523" customFormat="false" ht="12.75" hidden="false" customHeight="fals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</row>
    <row r="524" customFormat="false" ht="12.75" hidden="false" customHeight="fals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</row>
    <row r="525" customFormat="false" ht="12.75" hidden="false" customHeight="fals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</row>
    <row r="526" customFormat="false" ht="12.75" hidden="false" customHeight="fals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</row>
    <row r="527" customFormat="false" ht="12.75" hidden="false" customHeight="fals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</row>
    <row r="528" customFormat="false" ht="12.75" hidden="false" customHeight="fals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</row>
    <row r="529" customFormat="false" ht="12.75" hidden="false" customHeight="fals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</row>
    <row r="530" customFormat="false" ht="12.75" hidden="false" customHeight="fals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</row>
    <row r="531" customFormat="false" ht="12.75" hidden="false" customHeight="fals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</row>
    <row r="532" customFormat="false" ht="12.75" hidden="false" customHeight="fals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</row>
    <row r="533" customFormat="false" ht="12.75" hidden="false" customHeight="fals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</row>
    <row r="534" customFormat="false" ht="12.75" hidden="false" customHeight="fals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</row>
    <row r="535" customFormat="false" ht="12.75" hidden="false" customHeight="fals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</row>
    <row r="536" customFormat="false" ht="12.75" hidden="false" customHeight="fals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</row>
    <row r="537" customFormat="false" ht="12.75" hidden="false" customHeight="fals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</row>
    <row r="538" customFormat="false" ht="12.75" hidden="false" customHeight="fals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</row>
    <row r="539" customFormat="false" ht="12.75" hidden="false" customHeight="fals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</row>
    <row r="540" customFormat="false" ht="12.75" hidden="false" customHeight="fals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</row>
    <row r="541" customFormat="false" ht="12.75" hidden="false" customHeight="fals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</row>
    <row r="542" customFormat="false" ht="12.75" hidden="false" customHeight="fals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</row>
    <row r="543" customFormat="false" ht="12.75" hidden="false" customHeight="fals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</row>
    <row r="544" customFormat="false" ht="12.75" hidden="false" customHeight="fals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</row>
    <row r="545" customFormat="false" ht="12.75" hidden="false" customHeight="fals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</row>
    <row r="546" customFormat="false" ht="12.75" hidden="false" customHeight="fals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</row>
    <row r="547" customFormat="false" ht="12.75" hidden="false" customHeight="fals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</row>
    <row r="548" customFormat="false" ht="12.75" hidden="false" customHeight="fals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</row>
    <row r="549" customFormat="false" ht="12.75" hidden="false" customHeight="fals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</row>
    <row r="550" customFormat="false" ht="12.75" hidden="false" customHeight="fals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</row>
    <row r="551" customFormat="false" ht="12.75" hidden="false" customHeight="fals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</row>
    <row r="552" customFormat="false" ht="12.75" hidden="false" customHeight="fals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</row>
    <row r="553" customFormat="false" ht="12.75" hidden="false" customHeight="fals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</row>
    <row r="554" customFormat="false" ht="12.75" hidden="false" customHeight="fals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</row>
    <row r="555" customFormat="false" ht="12.75" hidden="false" customHeight="fals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</row>
    <row r="556" customFormat="false" ht="12.75" hidden="false" customHeight="fals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</row>
    <row r="557" customFormat="false" ht="12.75" hidden="false" customHeight="fals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</row>
    <row r="558" customFormat="false" ht="12.75" hidden="false" customHeight="fals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</row>
    <row r="559" customFormat="false" ht="12.75" hidden="false" customHeight="fals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</row>
    <row r="560" customFormat="false" ht="12.75" hidden="false" customHeight="fals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</row>
    <row r="561" customFormat="false" ht="12.75" hidden="false" customHeight="fals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</row>
    <row r="562" customFormat="false" ht="12.75" hidden="false" customHeight="fals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</row>
    <row r="563" customFormat="false" ht="12.75" hidden="false" customHeight="fals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</row>
    <row r="564" customFormat="false" ht="12.75" hidden="false" customHeight="fals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</row>
    <row r="565" customFormat="false" ht="12.75" hidden="false" customHeight="fals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</row>
    <row r="566" customFormat="false" ht="12.75" hidden="false" customHeight="fals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</row>
    <row r="567" customFormat="false" ht="12.75" hidden="false" customHeight="fals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</row>
    <row r="568" customFormat="false" ht="12.75" hidden="false" customHeight="fals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</row>
    <row r="569" customFormat="false" ht="12.75" hidden="false" customHeight="fals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</row>
    <row r="570" customFormat="false" ht="12.75" hidden="false" customHeight="fals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</row>
    <row r="571" customFormat="false" ht="12.75" hidden="false" customHeight="fals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</row>
    <row r="572" customFormat="false" ht="12.75" hidden="false" customHeight="fals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</row>
    <row r="573" customFormat="false" ht="12.75" hidden="false" customHeight="fals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</row>
    <row r="574" customFormat="false" ht="12.75" hidden="false" customHeight="fals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</row>
    <row r="575" customFormat="false" ht="12.75" hidden="false" customHeight="fals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</row>
    <row r="576" customFormat="false" ht="12.75" hidden="false" customHeight="fals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</row>
    <row r="577" customFormat="false" ht="12.75" hidden="false" customHeight="fals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</row>
    <row r="578" customFormat="false" ht="12.75" hidden="false" customHeight="fals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</row>
    <row r="579" customFormat="false" ht="12.75" hidden="false" customHeight="fals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</row>
    <row r="580" customFormat="false" ht="12.75" hidden="false" customHeight="fals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</row>
    <row r="581" customFormat="false" ht="12.75" hidden="false" customHeight="fals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</row>
    <row r="582" customFormat="false" ht="12.75" hidden="false" customHeight="fals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</row>
    <row r="583" customFormat="false" ht="12.75" hidden="false" customHeight="fals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</row>
    <row r="584" customFormat="false" ht="12.75" hidden="false" customHeight="fals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</row>
    <row r="585" customFormat="false" ht="12.75" hidden="false" customHeight="fals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</row>
    <row r="586" customFormat="false" ht="12.75" hidden="false" customHeight="fals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</row>
    <row r="587" customFormat="false" ht="12.75" hidden="false" customHeight="fals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</row>
    <row r="588" customFormat="false" ht="12.75" hidden="false" customHeight="fals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</row>
    <row r="589" customFormat="false" ht="12.75" hidden="false" customHeight="fals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</row>
    <row r="590" customFormat="false" ht="12.75" hidden="false" customHeight="fals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</row>
    <row r="591" customFormat="false" ht="12.75" hidden="false" customHeight="fals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</row>
    <row r="592" customFormat="false" ht="12.75" hidden="false" customHeight="fals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</row>
    <row r="593" customFormat="false" ht="12.75" hidden="false" customHeight="fals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</row>
    <row r="594" customFormat="false" ht="12.75" hidden="false" customHeight="fals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</row>
    <row r="595" customFormat="false" ht="12.75" hidden="false" customHeight="fals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</row>
    <row r="596" customFormat="false" ht="12.75" hidden="false" customHeight="fals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</row>
    <row r="597" customFormat="false" ht="12.75" hidden="false" customHeight="fals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</row>
    <row r="598" customFormat="false" ht="12.75" hidden="false" customHeight="fals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</row>
    <row r="599" customFormat="false" ht="12.75" hidden="false" customHeight="fals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</row>
    <row r="600" customFormat="false" ht="12.75" hidden="false" customHeight="fals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</row>
    <row r="601" customFormat="false" ht="12.75" hidden="false" customHeight="fals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</row>
    <row r="602" customFormat="false" ht="12.75" hidden="false" customHeight="fals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</row>
    <row r="603" customFormat="false" ht="12.75" hidden="false" customHeight="fals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</row>
    <row r="604" customFormat="false" ht="12.75" hidden="false" customHeight="fals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</row>
    <row r="605" customFormat="false" ht="12.75" hidden="false" customHeight="fals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</row>
    <row r="606" customFormat="false" ht="12.75" hidden="false" customHeight="fals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</row>
    <row r="607" customFormat="false" ht="12.75" hidden="false" customHeight="fals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</row>
    <row r="608" customFormat="false" ht="12.75" hidden="false" customHeight="fals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</row>
    <row r="609" customFormat="false" ht="12.75" hidden="false" customHeight="fals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</row>
    <row r="610" customFormat="false" ht="12.75" hidden="false" customHeight="fals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</row>
    <row r="611" customFormat="false" ht="12.75" hidden="false" customHeight="fals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</row>
    <row r="612" customFormat="false" ht="12.75" hidden="false" customHeight="fals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</row>
    <row r="613" customFormat="false" ht="12.75" hidden="false" customHeight="fals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</row>
    <row r="614" customFormat="false" ht="12.75" hidden="false" customHeight="fals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</row>
    <row r="615" customFormat="false" ht="12.75" hidden="false" customHeight="fals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</row>
    <row r="616" customFormat="false" ht="12.75" hidden="false" customHeight="fals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</row>
    <row r="617" customFormat="false" ht="12.75" hidden="false" customHeight="fals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</row>
    <row r="618" customFormat="false" ht="12.75" hidden="false" customHeight="fals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</row>
    <row r="619" customFormat="false" ht="12.75" hidden="false" customHeight="fals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</row>
    <row r="620" customFormat="false" ht="12.75" hidden="false" customHeight="fals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</row>
    <row r="621" customFormat="false" ht="12.75" hidden="false" customHeight="fals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</row>
    <row r="622" customFormat="false" ht="12.75" hidden="false" customHeight="fals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</row>
    <row r="623" customFormat="false" ht="12.75" hidden="false" customHeight="fals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</row>
    <row r="624" customFormat="false" ht="12.75" hidden="false" customHeight="fals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</row>
    <row r="625" customFormat="false" ht="12.75" hidden="false" customHeight="fals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</row>
    <row r="626" customFormat="false" ht="12.75" hidden="false" customHeight="fals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</row>
    <row r="627" customFormat="false" ht="12.75" hidden="false" customHeight="fals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</row>
    <row r="628" customFormat="false" ht="12.75" hidden="false" customHeight="fals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</row>
    <row r="629" customFormat="false" ht="12.75" hidden="false" customHeight="fals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</row>
    <row r="630" customFormat="false" ht="12.75" hidden="false" customHeight="fals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</row>
    <row r="631" customFormat="false" ht="12.75" hidden="false" customHeight="fals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</row>
    <row r="632" customFormat="false" ht="12.75" hidden="false" customHeight="fals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</row>
    <row r="633" customFormat="false" ht="12.75" hidden="false" customHeight="fals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</row>
    <row r="634" customFormat="false" ht="12.75" hidden="false" customHeight="fals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</row>
    <row r="635" customFormat="false" ht="12.75" hidden="false" customHeight="fals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</row>
    <row r="636" customFormat="false" ht="12.75" hidden="false" customHeight="fals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</row>
    <row r="637" customFormat="false" ht="12.75" hidden="false" customHeight="fals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</row>
    <row r="638" customFormat="false" ht="12.75" hidden="false" customHeight="fals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</row>
    <row r="639" customFormat="false" ht="12.75" hidden="false" customHeight="fals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</row>
    <row r="640" customFormat="false" ht="12.75" hidden="false" customHeight="fals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</row>
    <row r="641" customFormat="false" ht="12.75" hidden="false" customHeight="fals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</row>
    <row r="642" customFormat="false" ht="12.75" hidden="false" customHeight="fals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</row>
    <row r="643" customFormat="false" ht="12.75" hidden="false" customHeight="fals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</row>
    <row r="644" customFormat="false" ht="12.75" hidden="false" customHeight="fals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</row>
    <row r="645" customFormat="false" ht="12.75" hidden="false" customHeight="fals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</row>
    <row r="646" customFormat="false" ht="12.75" hidden="false" customHeight="fals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</row>
    <row r="647" customFormat="false" ht="12.75" hidden="false" customHeight="fals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</row>
    <row r="648" customFormat="false" ht="12.75" hidden="false" customHeight="fals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</row>
    <row r="649" customFormat="false" ht="12.75" hidden="false" customHeight="fals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</row>
    <row r="650" customFormat="false" ht="12.75" hidden="false" customHeight="fals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</row>
    <row r="651" customFormat="false" ht="12.75" hidden="false" customHeight="fals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</row>
    <row r="652" customFormat="false" ht="12.75" hidden="false" customHeight="fals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</row>
    <row r="653" customFormat="false" ht="12.75" hidden="false" customHeight="fals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</row>
    <row r="654" customFormat="false" ht="12.75" hidden="false" customHeight="fals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</row>
    <row r="655" customFormat="false" ht="12.75" hidden="false" customHeight="fals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</row>
    <row r="656" customFormat="false" ht="12.75" hidden="false" customHeight="fals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</row>
    <row r="657" customFormat="false" ht="12.75" hidden="false" customHeight="fals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</row>
    <row r="658" customFormat="false" ht="12.75" hidden="false" customHeight="fals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</row>
    <row r="659" customFormat="false" ht="12.75" hidden="false" customHeight="fals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</row>
    <row r="660" customFormat="false" ht="12.75" hidden="false" customHeight="fals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</row>
    <row r="661" customFormat="false" ht="12.75" hidden="false" customHeight="fals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</row>
    <row r="662" customFormat="false" ht="12.75" hidden="false" customHeight="fals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</row>
    <row r="663" customFormat="false" ht="12.75" hidden="false" customHeight="fals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</row>
    <row r="664" customFormat="false" ht="12.75" hidden="false" customHeight="fals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</row>
    <row r="665" customFormat="false" ht="12.75" hidden="false" customHeight="fals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</row>
    <row r="666" customFormat="false" ht="12.75" hidden="false" customHeight="fals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</row>
    <row r="667" customFormat="false" ht="12.75" hidden="false" customHeight="fals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</row>
    <row r="668" customFormat="false" ht="12.75" hidden="false" customHeight="fals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</row>
    <row r="669" customFormat="false" ht="12.75" hidden="false" customHeight="fals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</row>
    <row r="670" customFormat="false" ht="12.75" hidden="false" customHeight="fals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</row>
    <row r="671" customFormat="false" ht="12.75" hidden="false" customHeight="fals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</row>
    <row r="672" customFormat="false" ht="12.75" hidden="false" customHeight="fals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</row>
    <row r="673" customFormat="false" ht="12.75" hidden="false" customHeight="fals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</row>
    <row r="674" customFormat="false" ht="12.75" hidden="false" customHeight="fals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</row>
    <row r="675" customFormat="false" ht="12.75" hidden="false" customHeight="fals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</row>
    <row r="676" customFormat="false" ht="12.75" hidden="false" customHeight="fals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</row>
    <row r="677" customFormat="false" ht="12.75" hidden="false" customHeight="fals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</row>
    <row r="678" customFormat="false" ht="12.75" hidden="false" customHeight="fals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</row>
    <row r="679" customFormat="false" ht="12.75" hidden="false" customHeight="fals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</row>
    <row r="680" customFormat="false" ht="12.75" hidden="false" customHeight="fals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</row>
    <row r="681" customFormat="false" ht="12.75" hidden="false" customHeight="fals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</row>
    <row r="682" customFormat="false" ht="12.75" hidden="false" customHeight="fals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</row>
    <row r="683" customFormat="false" ht="12.75" hidden="false" customHeight="fals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</row>
    <row r="684" customFormat="false" ht="12.75" hidden="false" customHeight="fals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</row>
    <row r="685" customFormat="false" ht="12.75" hidden="false" customHeight="fals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</row>
    <row r="686" customFormat="false" ht="12.75" hidden="false" customHeight="fals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</row>
    <row r="687" customFormat="false" ht="12.75" hidden="false" customHeight="fals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</row>
    <row r="688" customFormat="false" ht="12.75" hidden="false" customHeight="fals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</row>
    <row r="689" customFormat="false" ht="12.75" hidden="false" customHeight="fals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</row>
    <row r="690" customFormat="false" ht="12.75" hidden="false" customHeight="fals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</row>
    <row r="691" customFormat="false" ht="12.75" hidden="false" customHeight="fals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</row>
    <row r="692" customFormat="false" ht="12.75" hidden="false" customHeight="fals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</row>
    <row r="693" customFormat="false" ht="12.75" hidden="false" customHeight="fals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</row>
    <row r="694" customFormat="false" ht="12.75" hidden="false" customHeight="fals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</row>
    <row r="695" customFormat="false" ht="12.75" hidden="false" customHeight="fals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</row>
    <row r="696" customFormat="false" ht="12.75" hidden="false" customHeight="fals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</row>
    <row r="697" customFormat="false" ht="12.75" hidden="false" customHeight="fals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</row>
    <row r="698" customFormat="false" ht="12.75" hidden="false" customHeight="fals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</row>
    <row r="699" customFormat="false" ht="12.75" hidden="false" customHeight="fals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</row>
    <row r="700" customFormat="false" ht="12.75" hidden="false" customHeight="fals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</row>
    <row r="701" customFormat="false" ht="12.75" hidden="false" customHeight="fals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</row>
    <row r="702" customFormat="false" ht="12.75" hidden="false" customHeight="fals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</row>
    <row r="703" customFormat="false" ht="12.75" hidden="false" customHeight="fals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</row>
    <row r="704" customFormat="false" ht="12.75" hidden="false" customHeight="fals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</row>
    <row r="705" customFormat="false" ht="12.75" hidden="false" customHeight="fals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</row>
    <row r="706" customFormat="false" ht="12.75" hidden="false" customHeight="fals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</row>
    <row r="707" customFormat="false" ht="12.75" hidden="false" customHeight="fals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</row>
    <row r="708" customFormat="false" ht="12.75" hidden="false" customHeight="fals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</row>
    <row r="709" customFormat="false" ht="12.75" hidden="false" customHeight="fals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</row>
    <row r="710" customFormat="false" ht="12.75" hidden="false" customHeight="fals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</row>
    <row r="711" customFormat="false" ht="12.75" hidden="false" customHeight="fals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</row>
    <row r="712" customFormat="false" ht="12.75" hidden="false" customHeight="fals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</row>
    <row r="713" customFormat="false" ht="12.75" hidden="false" customHeight="fals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</row>
    <row r="714" customFormat="false" ht="12.75" hidden="false" customHeight="fals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</row>
    <row r="715" customFormat="false" ht="12.75" hidden="false" customHeight="fals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</row>
    <row r="716" customFormat="false" ht="12.75" hidden="false" customHeight="fals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</row>
    <row r="717" customFormat="false" ht="12.75" hidden="false" customHeight="fals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</row>
    <row r="718" customFormat="false" ht="12.75" hidden="false" customHeight="fals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</row>
    <row r="719" customFormat="false" ht="12.75" hidden="false" customHeight="fals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</row>
    <row r="720" customFormat="false" ht="12.75" hidden="false" customHeight="fals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</row>
    <row r="721" customFormat="false" ht="12.75" hidden="false" customHeight="fals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</row>
    <row r="722" customFormat="false" ht="12.75" hidden="false" customHeight="fals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</row>
    <row r="723" customFormat="false" ht="12.75" hidden="false" customHeight="fals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</row>
    <row r="724" customFormat="false" ht="12.75" hidden="false" customHeight="fals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</row>
    <row r="725" customFormat="false" ht="12.75" hidden="false" customHeight="fals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</row>
    <row r="726" customFormat="false" ht="12.75" hidden="false" customHeight="fals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</row>
    <row r="727" customFormat="false" ht="12.75" hidden="false" customHeight="fals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</row>
    <row r="728" customFormat="false" ht="12.75" hidden="false" customHeight="fals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</row>
    <row r="729" customFormat="false" ht="12.75" hidden="false" customHeight="fals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</row>
    <row r="730" customFormat="false" ht="12.75" hidden="false" customHeight="fals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</row>
    <row r="731" customFormat="false" ht="12.75" hidden="false" customHeight="fals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</row>
    <row r="732" customFormat="false" ht="12.75" hidden="false" customHeight="fals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</row>
    <row r="733" customFormat="false" ht="12.75" hidden="false" customHeight="fals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</row>
    <row r="734" customFormat="false" ht="12.75" hidden="false" customHeight="fals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</row>
    <row r="735" customFormat="false" ht="12.75" hidden="false" customHeight="fals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</row>
    <row r="736" customFormat="false" ht="12.75" hidden="false" customHeight="fals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</row>
    <row r="737" customFormat="false" ht="12.75" hidden="false" customHeight="fals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</row>
  </sheetData>
  <sheetProtection sheet="true" password="cc1a"/>
  <mergeCells count="69">
    <mergeCell ref="A1:M1"/>
    <mergeCell ref="A2:M2"/>
    <mergeCell ref="A3:M3"/>
    <mergeCell ref="A5:M5"/>
    <mergeCell ref="A7:B7"/>
    <mergeCell ref="C7:M7"/>
    <mergeCell ref="B9:E9"/>
    <mergeCell ref="F9:G9"/>
    <mergeCell ref="J9:M9"/>
    <mergeCell ref="P9:P10"/>
    <mergeCell ref="A10:A11"/>
    <mergeCell ref="B10:E10"/>
    <mergeCell ref="F10:G10"/>
    <mergeCell ref="J10:M10"/>
    <mergeCell ref="S10:T10"/>
    <mergeCell ref="B11:H11"/>
    <mergeCell ref="J11:M11"/>
    <mergeCell ref="A12:M12"/>
    <mergeCell ref="A13:A14"/>
    <mergeCell ref="B13:E13"/>
    <mergeCell ref="F13:G13"/>
    <mergeCell ref="J13:M13"/>
    <mergeCell ref="B14:H14"/>
    <mergeCell ref="A15:M15"/>
    <mergeCell ref="A16:A17"/>
    <mergeCell ref="B16:E16"/>
    <mergeCell ref="F16:G16"/>
    <mergeCell ref="J16:M16"/>
    <mergeCell ref="B17:H17"/>
    <mergeCell ref="A18:M18"/>
    <mergeCell ref="E20:K20"/>
    <mergeCell ref="I21:J21"/>
    <mergeCell ref="I22:J22"/>
    <mergeCell ref="I23:J23"/>
    <mergeCell ref="I24:J24"/>
    <mergeCell ref="C29:D29"/>
    <mergeCell ref="E29:G29"/>
    <mergeCell ref="I29:J29"/>
    <mergeCell ref="K29:M29"/>
    <mergeCell ref="C30:D30"/>
    <mergeCell ref="E30:G30"/>
    <mergeCell ref="K30:M30"/>
    <mergeCell ref="C31:D31"/>
    <mergeCell ref="E31:G31"/>
    <mergeCell ref="I31:J31"/>
    <mergeCell ref="K31:M31"/>
    <mergeCell ref="K33:M33"/>
    <mergeCell ref="B35:D35"/>
    <mergeCell ref="E35:F35"/>
    <mergeCell ref="G35:H35"/>
    <mergeCell ref="I35:K35"/>
    <mergeCell ref="B36:D36"/>
    <mergeCell ref="E36:F36"/>
    <mergeCell ref="G36:H36"/>
    <mergeCell ref="I36:K36"/>
    <mergeCell ref="A38:M38"/>
    <mergeCell ref="C41:D41"/>
    <mergeCell ref="E41:G41"/>
    <mergeCell ref="C42:D42"/>
    <mergeCell ref="E42:G42"/>
    <mergeCell ref="C43:D43"/>
    <mergeCell ref="E43:G43"/>
    <mergeCell ref="A49:B49"/>
    <mergeCell ref="C49:F49"/>
    <mergeCell ref="G49:M51"/>
    <mergeCell ref="A50:B50"/>
    <mergeCell ref="C50:F50"/>
    <mergeCell ref="A51:B51"/>
    <mergeCell ref="C51:F51"/>
  </mergeCells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9976</TotalTime>
  <Application>LibreOffice/25.8.3.2$Windows_X86_64 LibreOffice_project/8ca8d55c161d602844f5428fa4b58097424e324e</Application>
  <AppVersion>15.0000</AppVersion>
  <Company>AVI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AVALÚOS</cp:category>
  <dcterms:created xsi:type="dcterms:W3CDTF">2001-09-07T21:54:25Z</dcterms:created>
  <dc:creator>PAULO ENRIQUE ARCE</dc:creator>
  <dc:description/>
  <dc:language>es-MX</dc:language>
  <cp:lastModifiedBy/>
  <cp:lastPrinted>2020-03-10T05:54:28Z</cp:lastPrinted>
  <dcterms:modified xsi:type="dcterms:W3CDTF">2026-02-16T10:32:39Z</dcterms:modified>
  <cp:revision>2</cp:revision>
  <dc:subject/>
  <dc:title>FORMATO AVALUO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